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Summaries" sheetId="2" state="visible" r:id="rId2"/>
    <sheet xmlns:r="http://schemas.openxmlformats.org/officeDocument/2006/relationships" name="Top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'Summaries'!$A$8:$A$11</f>
            </numRef>
          </cat>
          <val>
            <numRef>
              <f>'Summaries'!$B$8:$B$11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'Summaries'!$D$8:$D$31</f>
            </numRef>
          </cat>
          <val>
            <numRef>
              <f>'Summaries'!$E$8:$E$31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K301" headerRowCount="1">
  <autoFilter ref="A1:K301"/>
  <tableColumns count="11">
    <tableColumn id="1" name="Order_ID"/>
    <tableColumn id="2" name="Order_Date"/>
    <tableColumn id="3" name="Customer_ID"/>
    <tableColumn id="4" name="Region"/>
    <tableColumn id="5" name="Product"/>
    <tableColumn id="6" name="Category"/>
    <tableColumn id="7" name="Quantity"/>
    <tableColumn id="8" name="Unit_Price"/>
    <tableColumn id="9" name="Total_Sales"/>
    <tableColumn id="10" name="Month"/>
    <tableColumn id="11" name="Year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Total_Sales</t>
        </is>
      </c>
      <c r="J1" t="inlineStr">
        <is>
          <t>Month</t>
        </is>
      </c>
      <c r="K1" t="inlineStr">
        <is>
          <t>Year</t>
        </is>
      </c>
    </row>
    <row r="2">
      <c r="A2" t="inlineStr">
        <is>
          <t>ORD-1001</t>
        </is>
      </c>
      <c r="B2" s="1" t="n">
        <v>45880</v>
      </c>
      <c r="C2" t="inlineStr">
        <is>
          <t>CUST-346</t>
        </is>
      </c>
      <c r="D2" t="inlineStr">
        <is>
          <t>West</t>
        </is>
      </c>
      <c r="E2" t="inlineStr">
        <is>
          <t>Table</t>
        </is>
      </c>
      <c r="F2" t="inlineStr">
        <is>
          <t>Furniture</t>
        </is>
      </c>
      <c r="G2" t="n">
        <v>6</v>
      </c>
      <c r="H2" t="n">
        <v>150</v>
      </c>
      <c r="I2" t="n">
        <v>900</v>
      </c>
      <c r="J2">
        <f>TEXT(B2,"YYYY-MM")</f>
        <v/>
      </c>
      <c r="K2">
        <f>YEAR(B2)</f>
        <v/>
      </c>
    </row>
    <row r="3">
      <c r="A3" t="inlineStr">
        <is>
          <t>ORD-1002</t>
        </is>
      </c>
      <c r="B3" s="1" t="n">
        <v>45854</v>
      </c>
      <c r="C3" t="inlineStr">
        <is>
          <t>CUST-219</t>
        </is>
      </c>
      <c r="D3" t="inlineStr">
        <is>
          <t>South</t>
        </is>
      </c>
      <c r="E3" t="inlineStr">
        <is>
          <t>Blender</t>
        </is>
      </c>
      <c r="F3" t="inlineStr">
        <is>
          <t>Appliances</t>
        </is>
      </c>
      <c r="G3" t="n">
        <v>6</v>
      </c>
      <c r="H3" t="n">
        <v>80</v>
      </c>
      <c r="I3" t="n">
        <v>480</v>
      </c>
      <c r="J3">
        <f>TEXT(B3,"YYYY-MM")</f>
        <v/>
      </c>
      <c r="K3">
        <f>YEAR(B3)</f>
        <v/>
      </c>
    </row>
    <row r="4">
      <c r="A4" t="inlineStr">
        <is>
          <t>ORD-1003</t>
        </is>
      </c>
      <c r="B4" s="1" t="n">
        <v>45456</v>
      </c>
      <c r="C4" t="inlineStr">
        <is>
          <t>CUST-325</t>
        </is>
      </c>
      <c r="D4" t="inlineStr">
        <is>
          <t>East</t>
        </is>
      </c>
      <c r="E4" t="inlineStr">
        <is>
          <t>Table</t>
        </is>
      </c>
      <c r="F4" t="inlineStr">
        <is>
          <t>Furniture</t>
        </is>
      </c>
      <c r="G4" t="n">
        <v>10</v>
      </c>
      <c r="H4" t="n">
        <v>150</v>
      </c>
      <c r="I4" t="n">
        <v>1500</v>
      </c>
      <c r="J4">
        <f>TEXT(B4,"YYYY-MM")</f>
        <v/>
      </c>
      <c r="K4">
        <f>YEAR(B4)</f>
        <v/>
      </c>
    </row>
    <row r="5">
      <c r="A5" t="inlineStr">
        <is>
          <t>ORD-1004</t>
        </is>
      </c>
      <c r="B5" s="1" t="n">
        <v>45592</v>
      </c>
      <c r="C5" t="inlineStr">
        <is>
          <t>CUST-239</t>
        </is>
      </c>
      <c r="D5" t="inlineStr">
        <is>
          <t>North</t>
        </is>
      </c>
      <c r="E5" t="inlineStr">
        <is>
          <t>Sofa</t>
        </is>
      </c>
      <c r="F5" t="inlineStr">
        <is>
          <t>Furniture</t>
        </is>
      </c>
      <c r="G5" t="n">
        <v>10</v>
      </c>
      <c r="H5" t="n">
        <v>400</v>
      </c>
      <c r="I5" t="n">
        <v>4000</v>
      </c>
      <c r="J5">
        <f>TEXT(B5,"YYYY-MM")</f>
        <v/>
      </c>
      <c r="K5">
        <f>YEAR(B5)</f>
        <v/>
      </c>
    </row>
    <row r="6">
      <c r="A6" t="inlineStr">
        <is>
          <t>ORD-1005</t>
        </is>
      </c>
      <c r="B6" s="1" t="n">
        <v>45474</v>
      </c>
      <c r="C6" t="inlineStr">
        <is>
          <t>CUST-240</t>
        </is>
      </c>
      <c r="D6" t="inlineStr">
        <is>
          <t>West</t>
        </is>
      </c>
      <c r="E6" t="inlineStr">
        <is>
          <t>Blender</t>
        </is>
      </c>
      <c r="F6" t="inlineStr">
        <is>
          <t>Appliances</t>
        </is>
      </c>
      <c r="G6" t="n">
        <v>4</v>
      </c>
      <c r="H6" t="n">
        <v>80</v>
      </c>
      <c r="I6" t="n">
        <v>320</v>
      </c>
      <c r="J6">
        <f>TEXT(B6,"YYYY-MM")</f>
        <v/>
      </c>
      <c r="K6">
        <f>YEAR(B6)</f>
        <v/>
      </c>
    </row>
    <row r="7">
      <c r="A7" t="inlineStr">
        <is>
          <t>ORD-1006</t>
        </is>
      </c>
      <c r="B7" s="1" t="n">
        <v>45645</v>
      </c>
      <c r="C7" t="inlineStr">
        <is>
          <t>CUST-212</t>
        </is>
      </c>
      <c r="D7" t="inlineStr">
        <is>
          <t>South</t>
        </is>
      </c>
      <c r="E7" t="inlineStr">
        <is>
          <t>Refrigerator</t>
        </is>
      </c>
      <c r="F7" t="inlineStr">
        <is>
          <t>Appliances</t>
        </is>
      </c>
      <c r="G7" t="n">
        <v>5</v>
      </c>
      <c r="H7" t="n">
        <v>600</v>
      </c>
      <c r="I7" t="n">
        <v>3000</v>
      </c>
      <c r="J7">
        <f>TEXT(B7,"YYYY-MM")</f>
        <v/>
      </c>
      <c r="K7">
        <f>YEAR(B7)</f>
        <v/>
      </c>
    </row>
    <row r="8">
      <c r="A8" t="inlineStr">
        <is>
          <t>ORD-1007</t>
        </is>
      </c>
      <c r="B8" s="1" t="n">
        <v>45500</v>
      </c>
      <c r="C8" t="inlineStr">
        <is>
          <t>CUST-437</t>
        </is>
      </c>
      <c r="D8" t="inlineStr">
        <is>
          <t>South</t>
        </is>
      </c>
      <c r="E8" t="inlineStr">
        <is>
          <t>Table</t>
        </is>
      </c>
      <c r="F8" t="inlineStr">
        <is>
          <t>Furniture</t>
        </is>
      </c>
      <c r="G8" t="n">
        <v>3</v>
      </c>
      <c r="H8" t="n">
        <v>150</v>
      </c>
      <c r="I8" t="n">
        <v>450</v>
      </c>
      <c r="J8">
        <f>TEXT(B8,"YYYY-MM")</f>
        <v/>
      </c>
      <c r="K8">
        <f>YEAR(B8)</f>
        <v/>
      </c>
    </row>
    <row r="9">
      <c r="A9" t="inlineStr">
        <is>
          <t>ORD-1008</t>
        </is>
      </c>
      <c r="B9" s="1" t="n">
        <v>45866</v>
      </c>
      <c r="C9" t="inlineStr">
        <is>
          <t>CUST-310</t>
        </is>
      </c>
      <c r="D9" t="inlineStr">
        <is>
          <t>West</t>
        </is>
      </c>
      <c r="E9" t="inlineStr">
        <is>
          <t>Laptop</t>
        </is>
      </c>
      <c r="F9" t="inlineStr">
        <is>
          <t>Electronics</t>
        </is>
      </c>
      <c r="G9" t="n">
        <v>1</v>
      </c>
      <c r="H9" t="n">
        <v>800</v>
      </c>
      <c r="I9" t="n">
        <v>800</v>
      </c>
      <c r="J9">
        <f>TEXT(B9,"YYYY-MM")</f>
        <v/>
      </c>
      <c r="K9">
        <f>YEAR(B9)</f>
        <v/>
      </c>
    </row>
    <row r="10">
      <c r="A10" t="inlineStr">
        <is>
          <t>ORD-1009</t>
        </is>
      </c>
      <c r="B10" s="1" t="n">
        <v>45838</v>
      </c>
      <c r="C10" t="inlineStr">
        <is>
          <t>CUST-179</t>
        </is>
      </c>
      <c r="D10" t="inlineStr">
        <is>
          <t>South</t>
        </is>
      </c>
      <c r="E10" t="inlineStr">
        <is>
          <t>Table</t>
        </is>
      </c>
      <c r="F10" t="inlineStr">
        <is>
          <t>Furniture</t>
        </is>
      </c>
      <c r="G10" t="n">
        <v>4</v>
      </c>
      <c r="H10" t="n">
        <v>150</v>
      </c>
      <c r="I10" t="n">
        <v>600</v>
      </c>
      <c r="J10">
        <f>TEXT(B10,"YYYY-MM")</f>
        <v/>
      </c>
      <c r="K10">
        <f>YEAR(B10)</f>
        <v/>
      </c>
    </row>
    <row r="11">
      <c r="A11" t="inlineStr">
        <is>
          <t>ORD-1010</t>
        </is>
      </c>
      <c r="B11" s="1" t="n">
        <v>45527</v>
      </c>
      <c r="C11" t="inlineStr">
        <is>
          <t>CUST-327</t>
        </is>
      </c>
      <c r="D11" t="inlineStr">
        <is>
          <t>East</t>
        </is>
      </c>
      <c r="E11" t="inlineStr">
        <is>
          <t>Laptop</t>
        </is>
      </c>
      <c r="F11" t="inlineStr">
        <is>
          <t>Electronics</t>
        </is>
      </c>
      <c r="G11" t="n">
        <v>7</v>
      </c>
      <c r="H11" t="n">
        <v>800</v>
      </c>
      <c r="I11" t="n">
        <v>5600</v>
      </c>
      <c r="J11">
        <f>TEXT(B11,"YYYY-MM")</f>
        <v/>
      </c>
      <c r="K11">
        <f>YEAR(B11)</f>
        <v/>
      </c>
    </row>
    <row r="12">
      <c r="A12" t="inlineStr">
        <is>
          <t>ORD-1011</t>
        </is>
      </c>
      <c r="B12" s="1" t="n">
        <v>45531</v>
      </c>
      <c r="C12" t="inlineStr">
        <is>
          <t>CUST-230</t>
        </is>
      </c>
      <c r="D12" t="inlineStr">
        <is>
          <t>South</t>
        </is>
      </c>
      <c r="E12" t="inlineStr">
        <is>
          <t>Blender</t>
        </is>
      </c>
      <c r="F12" t="inlineStr">
        <is>
          <t>Appliances</t>
        </is>
      </c>
      <c r="G12" t="n">
        <v>9</v>
      </c>
      <c r="H12" t="n">
        <v>80</v>
      </c>
      <c r="I12" t="n">
        <v>720</v>
      </c>
      <c r="J12">
        <f>TEXT(B12,"YYYY-MM")</f>
        <v/>
      </c>
      <c r="K12">
        <f>YEAR(B12)</f>
        <v/>
      </c>
    </row>
    <row r="13">
      <c r="A13" t="inlineStr">
        <is>
          <t>ORD-1012</t>
        </is>
      </c>
      <c r="B13" s="1" t="n">
        <v>45794</v>
      </c>
      <c r="C13" t="inlineStr">
        <is>
          <t>CUST-108</t>
        </is>
      </c>
      <c r="D13" t="inlineStr">
        <is>
          <t>West</t>
        </is>
      </c>
      <c r="E13" t="inlineStr">
        <is>
          <t>Laptop</t>
        </is>
      </c>
      <c r="F13" t="inlineStr">
        <is>
          <t>Electronics</t>
        </is>
      </c>
      <c r="G13" t="n">
        <v>3</v>
      </c>
      <c r="H13" t="n">
        <v>800</v>
      </c>
      <c r="I13" t="n">
        <v>2400</v>
      </c>
      <c r="J13">
        <f>TEXT(B13,"YYYY-MM")</f>
        <v/>
      </c>
      <c r="K13">
        <f>YEAR(B13)</f>
        <v/>
      </c>
    </row>
    <row r="14">
      <c r="A14" t="inlineStr">
        <is>
          <t>ORD-1013</t>
        </is>
      </c>
      <c r="B14" s="1" t="n">
        <v>45473</v>
      </c>
      <c r="C14" t="inlineStr">
        <is>
          <t>CUST-258</t>
        </is>
      </c>
      <c r="D14" t="inlineStr">
        <is>
          <t>South</t>
        </is>
      </c>
      <c r="E14" t="inlineStr">
        <is>
          <t>Sofa</t>
        </is>
      </c>
      <c r="F14" t="inlineStr">
        <is>
          <t>Furniture</t>
        </is>
      </c>
      <c r="G14" t="n">
        <v>8</v>
      </c>
      <c r="H14" t="n">
        <v>400</v>
      </c>
      <c r="I14" t="n">
        <v>3200</v>
      </c>
      <c r="J14">
        <f>TEXT(B14,"YYYY-MM")</f>
        <v/>
      </c>
      <c r="K14">
        <f>YEAR(B14)</f>
        <v/>
      </c>
    </row>
    <row r="15">
      <c r="A15" t="inlineStr">
        <is>
          <t>ORD-1014</t>
        </is>
      </c>
      <c r="B15" s="1" t="n">
        <v>45764</v>
      </c>
      <c r="C15" t="inlineStr">
        <is>
          <t>CUST-429</t>
        </is>
      </c>
      <c r="D15" t="inlineStr">
        <is>
          <t>North</t>
        </is>
      </c>
      <c r="E15" t="inlineStr">
        <is>
          <t>Blender</t>
        </is>
      </c>
      <c r="F15" t="inlineStr">
        <is>
          <t>Appliances</t>
        </is>
      </c>
      <c r="G15" t="n">
        <v>10</v>
      </c>
      <c r="H15" t="n">
        <v>80</v>
      </c>
      <c r="I15" t="n">
        <v>800</v>
      </c>
      <c r="J15">
        <f>TEXT(B15,"YYYY-MM")</f>
        <v/>
      </c>
      <c r="K15">
        <f>YEAR(B15)</f>
        <v/>
      </c>
    </row>
    <row r="16">
      <c r="A16" t="inlineStr">
        <is>
          <t>ORD-1015</t>
        </is>
      </c>
      <c r="B16" s="1" t="n">
        <v>45969</v>
      </c>
      <c r="C16" t="inlineStr">
        <is>
          <t>CUST-105</t>
        </is>
      </c>
      <c r="D16" t="inlineStr">
        <is>
          <t>North</t>
        </is>
      </c>
      <c r="E16" t="inlineStr">
        <is>
          <t>Refrigerator</t>
        </is>
      </c>
      <c r="F16" t="inlineStr">
        <is>
          <t>Appliances</t>
        </is>
      </c>
      <c r="G16" t="n">
        <v>5</v>
      </c>
      <c r="H16" t="n">
        <v>600</v>
      </c>
      <c r="I16" t="n">
        <v>3000</v>
      </c>
      <c r="J16">
        <f>TEXT(B16,"YYYY-MM")</f>
        <v/>
      </c>
      <c r="K16">
        <f>YEAR(B16)</f>
        <v/>
      </c>
    </row>
    <row r="17">
      <c r="A17" t="inlineStr">
        <is>
          <t>ORD-1016</t>
        </is>
      </c>
      <c r="B17" s="1" t="n">
        <v>45975</v>
      </c>
      <c r="C17" t="inlineStr">
        <is>
          <t>CUST-174</t>
        </is>
      </c>
      <c r="D17" t="inlineStr">
        <is>
          <t>North</t>
        </is>
      </c>
      <c r="E17" t="inlineStr">
        <is>
          <t>Headphones</t>
        </is>
      </c>
      <c r="F17" t="inlineStr">
        <is>
          <t>Electronics</t>
        </is>
      </c>
      <c r="G17" t="n">
        <v>3</v>
      </c>
      <c r="H17" t="n">
        <v>50</v>
      </c>
      <c r="I17" t="n">
        <v>150</v>
      </c>
      <c r="J17">
        <f>TEXT(B17,"YYYY-MM")</f>
        <v/>
      </c>
      <c r="K17">
        <f>YEAR(B17)</f>
        <v/>
      </c>
    </row>
    <row r="18">
      <c r="A18" t="inlineStr">
        <is>
          <t>ORD-1017</t>
        </is>
      </c>
      <c r="B18" s="1" t="n">
        <v>45748</v>
      </c>
      <c r="C18" t="inlineStr">
        <is>
          <t>CUST-271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5</v>
      </c>
      <c r="H18" t="n">
        <v>800</v>
      </c>
      <c r="I18" t="n">
        <v>4000</v>
      </c>
      <c r="J18">
        <f>TEXT(B18,"YYYY-MM")</f>
        <v/>
      </c>
      <c r="K18">
        <f>YEAR(B18)</f>
        <v/>
      </c>
    </row>
    <row r="19">
      <c r="A19" t="inlineStr">
        <is>
          <t>ORD-1018</t>
        </is>
      </c>
      <c r="B19" s="1" t="n">
        <v>45677</v>
      </c>
      <c r="C19" t="inlineStr">
        <is>
          <t>CUST-304</t>
        </is>
      </c>
      <c r="D19" t="inlineStr">
        <is>
          <t>East</t>
        </is>
      </c>
      <c r="E19" t="inlineStr">
        <is>
          <t>Table</t>
        </is>
      </c>
      <c r="F19" t="inlineStr">
        <is>
          <t>Furniture</t>
        </is>
      </c>
      <c r="G19" t="n">
        <v>2</v>
      </c>
      <c r="H19" t="n">
        <v>150</v>
      </c>
      <c r="I19" t="n">
        <v>300</v>
      </c>
      <c r="J19">
        <f>TEXT(B19,"YYYY-MM")</f>
        <v/>
      </c>
      <c r="K19">
        <f>YEAR(B19)</f>
        <v/>
      </c>
    </row>
    <row r="20">
      <c r="A20" t="inlineStr">
        <is>
          <t>ORD-1019</t>
        </is>
      </c>
      <c r="B20" s="1" t="n">
        <v>45458</v>
      </c>
      <c r="C20" t="inlineStr">
        <is>
          <t>CUST-258</t>
        </is>
      </c>
      <c r="D20" t="inlineStr">
        <is>
          <t>South</t>
        </is>
      </c>
      <c r="E20" t="inlineStr">
        <is>
          <t>Laptop</t>
        </is>
      </c>
      <c r="F20" t="inlineStr">
        <is>
          <t>Electronics</t>
        </is>
      </c>
      <c r="G20" t="n">
        <v>6</v>
      </c>
      <c r="H20" t="n">
        <v>800</v>
      </c>
      <c r="I20" t="n">
        <v>4800</v>
      </c>
      <c r="J20">
        <f>TEXT(B20,"YYYY-MM")</f>
        <v/>
      </c>
      <c r="K20">
        <f>YEAR(B20)</f>
        <v/>
      </c>
    </row>
    <row r="21">
      <c r="A21" t="inlineStr">
        <is>
          <t>ORD-1020</t>
        </is>
      </c>
      <c r="B21" s="1" t="n">
        <v>45561</v>
      </c>
      <c r="C21" t="inlineStr">
        <is>
          <t>CUST-370</t>
        </is>
      </c>
      <c r="D21" t="inlineStr">
        <is>
          <t>West</t>
        </is>
      </c>
      <c r="E21" t="inlineStr">
        <is>
          <t>Sofa</t>
        </is>
      </c>
      <c r="F21" t="inlineStr">
        <is>
          <t>Furniture</t>
        </is>
      </c>
      <c r="G21" t="n">
        <v>3</v>
      </c>
      <c r="H21" t="n">
        <v>400</v>
      </c>
      <c r="I21" t="n">
        <v>1200</v>
      </c>
      <c r="J21">
        <f>TEXT(B21,"YYYY-MM")</f>
        <v/>
      </c>
      <c r="K21">
        <f>YEAR(B21)</f>
        <v/>
      </c>
    </row>
    <row r="22">
      <c r="A22" t="inlineStr">
        <is>
          <t>ORD-1021</t>
        </is>
      </c>
      <c r="B22" s="1" t="n">
        <v>45945</v>
      </c>
      <c r="C22" t="inlineStr">
        <is>
          <t>CUST-335</t>
        </is>
      </c>
      <c r="D22" t="inlineStr">
        <is>
          <t>East</t>
        </is>
      </c>
      <c r="E22" t="inlineStr">
        <is>
          <t>Blender</t>
        </is>
      </c>
      <c r="F22" t="inlineStr">
        <is>
          <t>Appliances</t>
        </is>
      </c>
      <c r="G22" t="n">
        <v>2</v>
      </c>
      <c r="H22" t="n">
        <v>80</v>
      </c>
      <c r="I22" t="n">
        <v>160</v>
      </c>
      <c r="J22">
        <f>TEXT(B22,"YYYY-MM")</f>
        <v/>
      </c>
      <c r="K22">
        <f>YEAR(B22)</f>
        <v/>
      </c>
    </row>
    <row r="23">
      <c r="A23" t="inlineStr">
        <is>
          <t>ORD-1022</t>
        </is>
      </c>
      <c r="B23" s="1" t="n">
        <v>45691</v>
      </c>
      <c r="C23" t="inlineStr">
        <is>
          <t>CUST-384</t>
        </is>
      </c>
      <c r="D23" t="inlineStr">
        <is>
          <t>East</t>
        </is>
      </c>
      <c r="E23" t="inlineStr">
        <is>
          <t>Laptop</t>
        </is>
      </c>
      <c r="F23" t="inlineStr">
        <is>
          <t>Electronics</t>
        </is>
      </c>
      <c r="G23" t="n">
        <v>9</v>
      </c>
      <c r="H23" t="n">
        <v>800</v>
      </c>
      <c r="I23" t="n">
        <v>7200</v>
      </c>
      <c r="J23">
        <f>TEXT(B23,"YYYY-MM")</f>
        <v/>
      </c>
      <c r="K23">
        <f>YEAR(B23)</f>
        <v/>
      </c>
    </row>
    <row r="24">
      <c r="A24" t="inlineStr">
        <is>
          <t>ORD-1023</t>
        </is>
      </c>
      <c r="B24" s="1" t="n">
        <v>45337</v>
      </c>
      <c r="C24" t="inlineStr">
        <is>
          <t>CUST-292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9</v>
      </c>
      <c r="H24" t="n">
        <v>800</v>
      </c>
      <c r="I24" t="n">
        <v>7200</v>
      </c>
      <c r="J24">
        <f>TEXT(B24,"YYYY-MM")</f>
        <v/>
      </c>
      <c r="K24">
        <f>YEAR(B24)</f>
        <v/>
      </c>
    </row>
    <row r="25">
      <c r="A25" t="inlineStr">
        <is>
          <t>ORD-1024</t>
        </is>
      </c>
      <c r="B25" s="1" t="n">
        <v>45424</v>
      </c>
      <c r="C25" t="inlineStr">
        <is>
          <t>CUST-214</t>
        </is>
      </c>
      <c r="D25" t="inlineStr">
        <is>
          <t>South</t>
        </is>
      </c>
      <c r="E25" t="inlineStr">
        <is>
          <t>Laptop</t>
        </is>
      </c>
      <c r="F25" t="inlineStr">
        <is>
          <t>Electronics</t>
        </is>
      </c>
      <c r="G25" t="n">
        <v>2</v>
      </c>
      <c r="H25" t="n">
        <v>800</v>
      </c>
      <c r="I25" t="n">
        <v>1600</v>
      </c>
      <c r="J25">
        <f>TEXT(B25,"YYYY-MM")</f>
        <v/>
      </c>
      <c r="K25">
        <f>YEAR(B25)</f>
        <v/>
      </c>
    </row>
    <row r="26">
      <c r="A26" t="inlineStr">
        <is>
          <t>ORD-1025</t>
        </is>
      </c>
      <c r="B26" s="1" t="n">
        <v>45931</v>
      </c>
      <c r="C26" t="inlineStr">
        <is>
          <t>CUST-113</t>
        </is>
      </c>
      <c r="D26" t="inlineStr">
        <is>
          <t>West</t>
        </is>
      </c>
      <c r="E26" t="inlineStr">
        <is>
          <t>Refrigerator</t>
        </is>
      </c>
      <c r="F26" t="inlineStr">
        <is>
          <t>Appliances</t>
        </is>
      </c>
      <c r="G26" t="n">
        <v>4</v>
      </c>
      <c r="H26" t="n">
        <v>600</v>
      </c>
      <c r="I26" t="n">
        <v>2400</v>
      </c>
      <c r="J26">
        <f>TEXT(B26,"YYYY-MM")</f>
        <v/>
      </c>
      <c r="K26">
        <f>YEAR(B26)</f>
        <v/>
      </c>
    </row>
    <row r="27">
      <c r="A27" t="inlineStr">
        <is>
          <t>ORD-1026</t>
        </is>
      </c>
      <c r="B27" s="1" t="n">
        <v>45826</v>
      </c>
      <c r="C27" t="inlineStr">
        <is>
          <t>CUST-201</t>
        </is>
      </c>
      <c r="D27" t="inlineStr">
        <is>
          <t>North</t>
        </is>
      </c>
      <c r="E27" t="inlineStr">
        <is>
          <t>Sofa</t>
        </is>
      </c>
      <c r="F27" t="inlineStr">
        <is>
          <t>Furniture</t>
        </is>
      </c>
      <c r="G27" t="n">
        <v>4</v>
      </c>
      <c r="H27" t="n">
        <v>400</v>
      </c>
      <c r="I27" t="n">
        <v>1600</v>
      </c>
      <c r="J27">
        <f>TEXT(B27,"YYYY-MM")</f>
        <v/>
      </c>
      <c r="K27">
        <f>YEAR(B27)</f>
        <v/>
      </c>
    </row>
    <row r="28">
      <c r="A28" t="inlineStr">
        <is>
          <t>ORD-1027</t>
        </is>
      </c>
      <c r="B28" s="1" t="n">
        <v>45992</v>
      </c>
      <c r="C28" t="inlineStr">
        <is>
          <t>CUST-409</t>
        </is>
      </c>
      <c r="D28" t="inlineStr">
        <is>
          <t>South</t>
        </is>
      </c>
      <c r="E28" t="inlineStr">
        <is>
          <t>Blender</t>
        </is>
      </c>
      <c r="F28" t="inlineStr">
        <is>
          <t>Appliances</t>
        </is>
      </c>
      <c r="G28" t="n">
        <v>6</v>
      </c>
      <c r="H28" t="n">
        <v>80</v>
      </c>
      <c r="I28" t="n">
        <v>480</v>
      </c>
      <c r="J28">
        <f>TEXT(B28,"YYYY-MM")</f>
        <v/>
      </c>
      <c r="K28">
        <f>YEAR(B28)</f>
        <v/>
      </c>
    </row>
    <row r="29">
      <c r="A29" t="inlineStr">
        <is>
          <t>ORD-1028</t>
        </is>
      </c>
      <c r="B29" s="1" t="n">
        <v>45908</v>
      </c>
      <c r="C29" t="inlineStr">
        <is>
          <t>CUST-404</t>
        </is>
      </c>
      <c r="D29" t="inlineStr">
        <is>
          <t>East</t>
        </is>
      </c>
      <c r="E29" t="inlineStr">
        <is>
          <t>Sofa</t>
        </is>
      </c>
      <c r="F29" t="inlineStr">
        <is>
          <t>Furniture</t>
        </is>
      </c>
      <c r="G29" t="n">
        <v>6</v>
      </c>
      <c r="H29" t="n">
        <v>400</v>
      </c>
      <c r="I29" t="n">
        <v>2400</v>
      </c>
      <c r="J29">
        <f>TEXT(B29,"YYYY-MM")</f>
        <v/>
      </c>
      <c r="K29">
        <f>YEAR(B29)</f>
        <v/>
      </c>
    </row>
    <row r="30">
      <c r="A30" t="inlineStr">
        <is>
          <t>ORD-1029</t>
        </is>
      </c>
      <c r="B30" s="1" t="n">
        <v>45812</v>
      </c>
      <c r="C30" t="inlineStr">
        <is>
          <t>CUST-215</t>
        </is>
      </c>
      <c r="D30" t="inlineStr">
        <is>
          <t>East</t>
        </is>
      </c>
      <c r="E30" t="inlineStr">
        <is>
          <t>Refrigerator</t>
        </is>
      </c>
      <c r="F30" t="inlineStr">
        <is>
          <t>Appliances</t>
        </is>
      </c>
      <c r="G30" t="n">
        <v>6</v>
      </c>
      <c r="H30" t="n">
        <v>600</v>
      </c>
      <c r="I30" t="n">
        <v>3600</v>
      </c>
      <c r="J30">
        <f>TEXT(B30,"YYYY-MM")</f>
        <v/>
      </c>
      <c r="K30">
        <f>YEAR(B30)</f>
        <v/>
      </c>
    </row>
    <row r="31">
      <c r="A31" t="inlineStr">
        <is>
          <t>ORD-1030</t>
        </is>
      </c>
      <c r="B31" s="1" t="n">
        <v>45606</v>
      </c>
      <c r="C31" t="inlineStr">
        <is>
          <t>CUST-423</t>
        </is>
      </c>
      <c r="D31" t="inlineStr">
        <is>
          <t>South</t>
        </is>
      </c>
      <c r="E31" t="inlineStr">
        <is>
          <t>Headphones</t>
        </is>
      </c>
      <c r="F31" t="inlineStr">
        <is>
          <t>Electronics</t>
        </is>
      </c>
      <c r="G31" t="n">
        <v>10</v>
      </c>
      <c r="H31" t="n">
        <v>50</v>
      </c>
      <c r="I31" t="n">
        <v>500</v>
      </c>
      <c r="J31">
        <f>TEXT(B31,"YYYY-MM")</f>
        <v/>
      </c>
      <c r="K31">
        <f>YEAR(B31)</f>
        <v/>
      </c>
    </row>
    <row r="32">
      <c r="A32" t="inlineStr">
        <is>
          <t>ORD-1031</t>
        </is>
      </c>
      <c r="B32" s="1" t="n">
        <v>45436</v>
      </c>
      <c r="C32" t="inlineStr">
        <is>
          <t>CUST-252</t>
        </is>
      </c>
      <c r="D32" t="inlineStr">
        <is>
          <t>West</t>
        </is>
      </c>
      <c r="E32" t="inlineStr">
        <is>
          <t>Laptop</t>
        </is>
      </c>
      <c r="F32" t="inlineStr">
        <is>
          <t>Electronics</t>
        </is>
      </c>
      <c r="G32" t="n">
        <v>10</v>
      </c>
      <c r="H32" t="n">
        <v>800</v>
      </c>
      <c r="I32" t="n">
        <v>8000</v>
      </c>
      <c r="J32">
        <f>TEXT(B32,"YYYY-MM")</f>
        <v/>
      </c>
      <c r="K32">
        <f>YEAR(B32)</f>
        <v/>
      </c>
    </row>
    <row r="33">
      <c r="A33" t="inlineStr">
        <is>
          <t>ORD-1032</t>
        </is>
      </c>
      <c r="B33" s="1" t="n">
        <v>45939</v>
      </c>
      <c r="C33" t="inlineStr">
        <is>
          <t>CUST-333</t>
        </is>
      </c>
      <c r="D33" t="inlineStr">
        <is>
          <t>North</t>
        </is>
      </c>
      <c r="E33" t="inlineStr">
        <is>
          <t>Sofa</t>
        </is>
      </c>
      <c r="F33" t="inlineStr">
        <is>
          <t>Furniture</t>
        </is>
      </c>
      <c r="G33" t="n">
        <v>4</v>
      </c>
      <c r="H33" t="n">
        <v>400</v>
      </c>
      <c r="I33" t="n">
        <v>1600</v>
      </c>
      <c r="J33">
        <f>TEXT(B33,"YYYY-MM")</f>
        <v/>
      </c>
      <c r="K33">
        <f>YEAR(B33)</f>
        <v/>
      </c>
    </row>
    <row r="34">
      <c r="A34" t="inlineStr">
        <is>
          <t>ORD-1033</t>
        </is>
      </c>
      <c r="B34" s="1" t="n">
        <v>45455</v>
      </c>
      <c r="C34" t="inlineStr">
        <is>
          <t>CUST-483</t>
        </is>
      </c>
      <c r="D34" t="inlineStr">
        <is>
          <t>West</t>
        </is>
      </c>
      <c r="E34" t="inlineStr">
        <is>
          <t>Sofa</t>
        </is>
      </c>
      <c r="F34" t="inlineStr">
        <is>
          <t>Furniture</t>
        </is>
      </c>
      <c r="G34" t="n">
        <v>2</v>
      </c>
      <c r="H34" t="n">
        <v>400</v>
      </c>
      <c r="I34" t="n">
        <v>800</v>
      </c>
      <c r="J34">
        <f>TEXT(B34,"YYYY-MM")</f>
        <v/>
      </c>
      <c r="K34">
        <f>YEAR(B34)</f>
        <v/>
      </c>
    </row>
    <row r="35">
      <c r="A35" t="inlineStr">
        <is>
          <t>ORD-1034</t>
        </is>
      </c>
      <c r="B35" s="1" t="n">
        <v>45935</v>
      </c>
      <c r="C35" t="inlineStr">
        <is>
          <t>CUST-148</t>
        </is>
      </c>
      <c r="D35" t="inlineStr">
        <is>
          <t>South</t>
        </is>
      </c>
      <c r="E35" t="inlineStr">
        <is>
          <t>Table</t>
        </is>
      </c>
      <c r="F35" t="inlineStr">
        <is>
          <t>Furniture</t>
        </is>
      </c>
      <c r="G35" t="n">
        <v>10</v>
      </c>
      <c r="H35" t="n">
        <v>150</v>
      </c>
      <c r="I35" t="n">
        <v>1500</v>
      </c>
      <c r="J35">
        <f>TEXT(B35,"YYYY-MM")</f>
        <v/>
      </c>
      <c r="K35">
        <f>YEAR(B35)</f>
        <v/>
      </c>
    </row>
    <row r="36">
      <c r="A36" t="inlineStr">
        <is>
          <t>ORD-1035</t>
        </is>
      </c>
      <c r="B36" s="1" t="n">
        <v>45688</v>
      </c>
      <c r="C36" t="inlineStr">
        <is>
          <t>CUST-235</t>
        </is>
      </c>
      <c r="D36" t="inlineStr">
        <is>
          <t>North</t>
        </is>
      </c>
      <c r="E36" t="inlineStr">
        <is>
          <t>Laptop</t>
        </is>
      </c>
      <c r="F36" t="inlineStr">
        <is>
          <t>Electronics</t>
        </is>
      </c>
      <c r="G36" t="n">
        <v>6</v>
      </c>
      <c r="H36" t="n">
        <v>800</v>
      </c>
      <c r="I36" t="n">
        <v>4800</v>
      </c>
      <c r="J36">
        <f>TEXT(B36,"YYYY-MM")</f>
        <v/>
      </c>
      <c r="K36">
        <f>YEAR(B36)</f>
        <v/>
      </c>
    </row>
    <row r="37">
      <c r="A37" t="inlineStr">
        <is>
          <t>ORD-1036</t>
        </is>
      </c>
      <c r="B37" s="1" t="n">
        <v>45943</v>
      </c>
      <c r="C37" t="inlineStr">
        <is>
          <t>CUST-336</t>
        </is>
      </c>
      <c r="D37" t="inlineStr">
        <is>
          <t>North</t>
        </is>
      </c>
      <c r="E37" t="inlineStr">
        <is>
          <t>Table</t>
        </is>
      </c>
      <c r="F37" t="inlineStr">
        <is>
          <t>Furniture</t>
        </is>
      </c>
      <c r="G37" t="n">
        <v>10</v>
      </c>
      <c r="H37" t="n">
        <v>150</v>
      </c>
      <c r="I37" t="n">
        <v>1500</v>
      </c>
      <c r="J37">
        <f>TEXT(B37,"YYYY-MM")</f>
        <v/>
      </c>
      <c r="K37">
        <f>YEAR(B37)</f>
        <v/>
      </c>
    </row>
    <row r="38">
      <c r="A38" t="inlineStr">
        <is>
          <t>ORD-1037</t>
        </is>
      </c>
      <c r="B38" s="1" t="n">
        <v>45920</v>
      </c>
      <c r="C38" t="inlineStr">
        <is>
          <t>CUST-300</t>
        </is>
      </c>
      <c r="D38" t="inlineStr">
        <is>
          <t>West</t>
        </is>
      </c>
      <c r="E38" t="inlineStr">
        <is>
          <t>Sofa</t>
        </is>
      </c>
      <c r="F38" t="inlineStr">
        <is>
          <t>Furniture</t>
        </is>
      </c>
      <c r="G38" t="n">
        <v>4</v>
      </c>
      <c r="H38" t="n">
        <v>400</v>
      </c>
      <c r="I38" t="n">
        <v>1600</v>
      </c>
      <c r="J38">
        <f>TEXT(B38,"YYYY-MM")</f>
        <v/>
      </c>
      <c r="K38">
        <f>YEAR(B38)</f>
        <v/>
      </c>
    </row>
    <row r="39">
      <c r="A39" t="inlineStr">
        <is>
          <t>ORD-1038</t>
        </is>
      </c>
      <c r="B39" s="1" t="n">
        <v>45829</v>
      </c>
      <c r="C39" t="inlineStr">
        <is>
          <t>CUST-445</t>
        </is>
      </c>
      <c r="D39" t="inlineStr">
        <is>
          <t>West</t>
        </is>
      </c>
      <c r="E39" t="inlineStr">
        <is>
          <t>Headphones</t>
        </is>
      </c>
      <c r="F39" t="inlineStr">
        <is>
          <t>Electronics</t>
        </is>
      </c>
      <c r="G39" t="n">
        <v>9</v>
      </c>
      <c r="H39" t="n">
        <v>50</v>
      </c>
      <c r="I39" t="n">
        <v>450</v>
      </c>
      <c r="J39">
        <f>TEXT(B39,"YYYY-MM")</f>
        <v/>
      </c>
      <c r="K39">
        <f>YEAR(B39)</f>
        <v/>
      </c>
    </row>
    <row r="40">
      <c r="A40" t="inlineStr">
        <is>
          <t>ORD-1039</t>
        </is>
      </c>
      <c r="B40" s="1" t="n">
        <v>45453</v>
      </c>
      <c r="C40" t="inlineStr">
        <is>
          <t>CUST-300</t>
        </is>
      </c>
      <c r="D40" t="inlineStr">
        <is>
          <t>West</t>
        </is>
      </c>
      <c r="E40" t="inlineStr">
        <is>
          <t>Refrigerator</t>
        </is>
      </c>
      <c r="F40" t="inlineStr">
        <is>
          <t>Appliances</t>
        </is>
      </c>
      <c r="G40" t="n">
        <v>5</v>
      </c>
      <c r="H40" t="n">
        <v>600</v>
      </c>
      <c r="I40" t="n">
        <v>3000</v>
      </c>
      <c r="J40">
        <f>TEXT(B40,"YYYY-MM")</f>
        <v/>
      </c>
      <c r="K40">
        <f>YEAR(B40)</f>
        <v/>
      </c>
    </row>
    <row r="41">
      <c r="A41" t="inlineStr">
        <is>
          <t>ORD-1040</t>
        </is>
      </c>
      <c r="B41" s="1" t="n">
        <v>45863</v>
      </c>
      <c r="C41" t="inlineStr">
        <is>
          <t>CUST-166</t>
        </is>
      </c>
      <c r="D41" t="inlineStr">
        <is>
          <t>North</t>
        </is>
      </c>
      <c r="E41" t="inlineStr">
        <is>
          <t>Sofa</t>
        </is>
      </c>
      <c r="F41" t="inlineStr">
        <is>
          <t>Furniture</t>
        </is>
      </c>
      <c r="G41" t="n">
        <v>5</v>
      </c>
      <c r="H41" t="n">
        <v>400</v>
      </c>
      <c r="I41" t="n">
        <v>2000</v>
      </c>
      <c r="J41">
        <f>TEXT(B41,"YYYY-MM")</f>
        <v/>
      </c>
      <c r="K41">
        <f>YEAR(B41)</f>
        <v/>
      </c>
    </row>
    <row r="42">
      <c r="A42" t="inlineStr">
        <is>
          <t>ORD-1041</t>
        </is>
      </c>
      <c r="B42" s="1" t="n">
        <v>45899</v>
      </c>
      <c r="C42" t="inlineStr">
        <is>
          <t>CUST-158</t>
        </is>
      </c>
      <c r="D42" t="inlineStr">
        <is>
          <t>West</t>
        </is>
      </c>
      <c r="E42" t="inlineStr">
        <is>
          <t>Table</t>
        </is>
      </c>
      <c r="F42" t="inlineStr">
        <is>
          <t>Furniture</t>
        </is>
      </c>
      <c r="G42" t="n">
        <v>6</v>
      </c>
      <c r="H42" t="n">
        <v>150</v>
      </c>
      <c r="I42" t="n">
        <v>900</v>
      </c>
      <c r="J42">
        <f>TEXT(B42,"YYYY-MM")</f>
        <v/>
      </c>
      <c r="K42">
        <f>YEAR(B42)</f>
        <v/>
      </c>
    </row>
    <row r="43">
      <c r="A43" t="inlineStr">
        <is>
          <t>ORD-1042</t>
        </is>
      </c>
      <c r="B43" s="1" t="n">
        <v>45975</v>
      </c>
      <c r="C43" t="inlineStr">
        <is>
          <t>CUST-272</t>
        </is>
      </c>
      <c r="D43" t="inlineStr">
        <is>
          <t>North</t>
        </is>
      </c>
      <c r="E43" t="inlineStr">
        <is>
          <t>Refrigerator</t>
        </is>
      </c>
      <c r="F43" t="inlineStr">
        <is>
          <t>Appliances</t>
        </is>
      </c>
      <c r="G43" t="n">
        <v>4</v>
      </c>
      <c r="H43" t="n">
        <v>600</v>
      </c>
      <c r="I43" t="n">
        <v>2400</v>
      </c>
      <c r="J43">
        <f>TEXT(B43,"YYYY-MM")</f>
        <v/>
      </c>
      <c r="K43">
        <f>YEAR(B43)</f>
        <v/>
      </c>
    </row>
    <row r="44">
      <c r="A44" t="inlineStr">
        <is>
          <t>ORD-1043</t>
        </is>
      </c>
      <c r="B44" s="1" t="n">
        <v>45720</v>
      </c>
      <c r="C44" t="inlineStr">
        <is>
          <t>CUST-471</t>
        </is>
      </c>
      <c r="D44" t="inlineStr">
        <is>
          <t>East</t>
        </is>
      </c>
      <c r="E44" t="inlineStr">
        <is>
          <t>Blender</t>
        </is>
      </c>
      <c r="F44" t="inlineStr">
        <is>
          <t>Appliances</t>
        </is>
      </c>
      <c r="G44" t="n">
        <v>6</v>
      </c>
      <c r="H44" t="n">
        <v>80</v>
      </c>
      <c r="I44" t="n">
        <v>480</v>
      </c>
      <c r="J44">
        <f>TEXT(B44,"YYYY-MM")</f>
        <v/>
      </c>
      <c r="K44">
        <f>YEAR(B44)</f>
        <v/>
      </c>
    </row>
    <row r="45">
      <c r="A45" t="inlineStr">
        <is>
          <t>ORD-1044</t>
        </is>
      </c>
      <c r="B45" s="1" t="n">
        <v>45779</v>
      </c>
      <c r="C45" t="inlineStr">
        <is>
          <t>CUST-260</t>
        </is>
      </c>
      <c r="D45" t="inlineStr">
        <is>
          <t>West</t>
        </is>
      </c>
      <c r="E45" t="inlineStr">
        <is>
          <t>Table</t>
        </is>
      </c>
      <c r="F45" t="inlineStr">
        <is>
          <t>Furniture</t>
        </is>
      </c>
      <c r="G45" t="n">
        <v>4</v>
      </c>
      <c r="H45" t="n">
        <v>150</v>
      </c>
      <c r="I45" t="n">
        <v>600</v>
      </c>
      <c r="J45">
        <f>TEXT(B45,"YYYY-MM")</f>
        <v/>
      </c>
      <c r="K45">
        <f>YEAR(B45)</f>
        <v/>
      </c>
    </row>
    <row r="46">
      <c r="A46" t="inlineStr">
        <is>
          <t>ORD-1045</t>
        </is>
      </c>
      <c r="B46" s="1" t="n">
        <v>45700</v>
      </c>
      <c r="C46" t="inlineStr">
        <is>
          <t>CUST-142</t>
        </is>
      </c>
      <c r="D46" t="inlineStr">
        <is>
          <t>North</t>
        </is>
      </c>
      <c r="E46" t="inlineStr">
        <is>
          <t>Blender</t>
        </is>
      </c>
      <c r="F46" t="inlineStr">
        <is>
          <t>Appliances</t>
        </is>
      </c>
      <c r="G46" t="n">
        <v>2</v>
      </c>
      <c r="H46" t="n">
        <v>80</v>
      </c>
      <c r="I46" t="n">
        <v>160</v>
      </c>
      <c r="J46">
        <f>TEXT(B46,"YYYY-MM")</f>
        <v/>
      </c>
      <c r="K46">
        <f>YEAR(B46)</f>
        <v/>
      </c>
    </row>
    <row r="47">
      <c r="A47" t="inlineStr">
        <is>
          <t>ORD-1046</t>
        </is>
      </c>
      <c r="B47" s="1" t="n">
        <v>45375</v>
      </c>
      <c r="C47" t="inlineStr">
        <is>
          <t>CUST-420</t>
        </is>
      </c>
      <c r="D47" t="inlineStr">
        <is>
          <t>South</t>
        </is>
      </c>
      <c r="E47" t="inlineStr">
        <is>
          <t>Sofa</t>
        </is>
      </c>
      <c r="F47" t="inlineStr">
        <is>
          <t>Furniture</t>
        </is>
      </c>
      <c r="G47" t="n">
        <v>2</v>
      </c>
      <c r="H47" t="n">
        <v>400</v>
      </c>
      <c r="I47" t="n">
        <v>800</v>
      </c>
      <c r="J47">
        <f>TEXT(B47,"YYYY-MM")</f>
        <v/>
      </c>
      <c r="K47">
        <f>YEAR(B47)</f>
        <v/>
      </c>
    </row>
    <row r="48">
      <c r="A48" t="inlineStr">
        <is>
          <t>ORD-1047</t>
        </is>
      </c>
      <c r="B48" s="1" t="n">
        <v>45524</v>
      </c>
      <c r="C48" t="inlineStr">
        <is>
          <t>CUST-451</t>
        </is>
      </c>
      <c r="D48" t="inlineStr">
        <is>
          <t>South</t>
        </is>
      </c>
      <c r="E48" t="inlineStr">
        <is>
          <t>Headphones</t>
        </is>
      </c>
      <c r="F48" t="inlineStr">
        <is>
          <t>Electronics</t>
        </is>
      </c>
      <c r="G48" t="n">
        <v>4</v>
      </c>
      <c r="H48" t="n">
        <v>50</v>
      </c>
      <c r="I48" t="n">
        <v>200</v>
      </c>
      <c r="J48">
        <f>TEXT(B48,"YYYY-MM")</f>
        <v/>
      </c>
      <c r="K48">
        <f>YEAR(B48)</f>
        <v/>
      </c>
    </row>
    <row r="49">
      <c r="A49" t="inlineStr">
        <is>
          <t>ORD-1048</t>
        </is>
      </c>
      <c r="B49" s="1" t="n">
        <v>45836</v>
      </c>
      <c r="C49" t="inlineStr">
        <is>
          <t>CUST-482</t>
        </is>
      </c>
      <c r="D49" t="inlineStr">
        <is>
          <t>South</t>
        </is>
      </c>
      <c r="E49" t="inlineStr">
        <is>
          <t>Table</t>
        </is>
      </c>
      <c r="F49" t="inlineStr">
        <is>
          <t>Furniture</t>
        </is>
      </c>
      <c r="G49" t="n">
        <v>6</v>
      </c>
      <c r="H49" t="n">
        <v>150</v>
      </c>
      <c r="I49" t="n">
        <v>900</v>
      </c>
      <c r="J49">
        <f>TEXT(B49,"YYYY-MM")</f>
        <v/>
      </c>
      <c r="K49">
        <f>YEAR(B49)</f>
        <v/>
      </c>
    </row>
    <row r="50">
      <c r="A50" t="inlineStr">
        <is>
          <t>ORD-1049</t>
        </is>
      </c>
      <c r="B50" s="1" t="n">
        <v>45888</v>
      </c>
      <c r="C50" t="inlineStr">
        <is>
          <t>CUST-176</t>
        </is>
      </c>
      <c r="D50" t="inlineStr">
        <is>
          <t>North</t>
        </is>
      </c>
      <c r="E50" t="inlineStr">
        <is>
          <t>Blender</t>
        </is>
      </c>
      <c r="F50" t="inlineStr">
        <is>
          <t>Appliances</t>
        </is>
      </c>
      <c r="G50" t="n">
        <v>1</v>
      </c>
      <c r="H50" t="n">
        <v>80</v>
      </c>
      <c r="I50" t="n">
        <v>80</v>
      </c>
      <c r="J50">
        <f>TEXT(B50,"YYYY-MM")</f>
        <v/>
      </c>
      <c r="K50">
        <f>YEAR(B50)</f>
        <v/>
      </c>
    </row>
    <row r="51">
      <c r="A51" t="inlineStr">
        <is>
          <t>ORD-1050</t>
        </is>
      </c>
      <c r="B51" s="1" t="n">
        <v>45914</v>
      </c>
      <c r="C51" t="inlineStr">
        <is>
          <t>CUST-361</t>
        </is>
      </c>
      <c r="D51" t="inlineStr">
        <is>
          <t>South</t>
        </is>
      </c>
      <c r="E51" t="inlineStr">
        <is>
          <t>Headphones</t>
        </is>
      </c>
      <c r="F51" t="inlineStr">
        <is>
          <t>Electronics</t>
        </is>
      </c>
      <c r="G51" t="n">
        <v>2</v>
      </c>
      <c r="H51" t="n">
        <v>50</v>
      </c>
      <c r="I51" t="n">
        <v>100</v>
      </c>
      <c r="J51">
        <f>TEXT(B51,"YYYY-MM")</f>
        <v/>
      </c>
      <c r="K51">
        <f>YEAR(B51)</f>
        <v/>
      </c>
    </row>
    <row r="52">
      <c r="A52" t="inlineStr">
        <is>
          <t>ORD-1051</t>
        </is>
      </c>
      <c r="B52" s="1" t="n">
        <v>45544</v>
      </c>
      <c r="C52" t="inlineStr">
        <is>
          <t>CUST-121</t>
        </is>
      </c>
      <c r="D52" t="inlineStr">
        <is>
          <t>East</t>
        </is>
      </c>
      <c r="E52" t="inlineStr">
        <is>
          <t>Headphones</t>
        </is>
      </c>
      <c r="F52" t="inlineStr">
        <is>
          <t>Electronics</t>
        </is>
      </c>
      <c r="G52" t="n">
        <v>8</v>
      </c>
      <c r="H52" t="n">
        <v>50</v>
      </c>
      <c r="I52" t="n">
        <v>400</v>
      </c>
      <c r="J52">
        <f>TEXT(B52,"YYYY-MM")</f>
        <v/>
      </c>
      <c r="K52">
        <f>YEAR(B52)</f>
        <v/>
      </c>
    </row>
    <row r="53">
      <c r="A53" t="inlineStr">
        <is>
          <t>ORD-1052</t>
        </is>
      </c>
      <c r="B53" s="1" t="n">
        <v>45401</v>
      </c>
      <c r="C53" t="inlineStr">
        <is>
          <t>CUST-132</t>
        </is>
      </c>
      <c r="D53" t="inlineStr">
        <is>
          <t>West</t>
        </is>
      </c>
      <c r="E53" t="inlineStr">
        <is>
          <t>Laptop</t>
        </is>
      </c>
      <c r="F53" t="inlineStr">
        <is>
          <t>Electronics</t>
        </is>
      </c>
      <c r="G53" t="n">
        <v>8</v>
      </c>
      <c r="H53" t="n">
        <v>800</v>
      </c>
      <c r="I53" t="n">
        <v>6400</v>
      </c>
      <c r="J53">
        <f>TEXT(B53,"YYYY-MM")</f>
        <v/>
      </c>
      <c r="K53">
        <f>YEAR(B53)</f>
        <v/>
      </c>
    </row>
    <row r="54">
      <c r="A54" t="inlineStr">
        <is>
          <t>ORD-1053</t>
        </is>
      </c>
      <c r="B54" s="1" t="n">
        <v>45990</v>
      </c>
      <c r="C54" t="inlineStr">
        <is>
          <t>CUST-338</t>
        </is>
      </c>
      <c r="D54" t="inlineStr">
        <is>
          <t>East</t>
        </is>
      </c>
      <c r="E54" t="inlineStr">
        <is>
          <t>Headphones</t>
        </is>
      </c>
      <c r="F54" t="inlineStr">
        <is>
          <t>Electronics</t>
        </is>
      </c>
      <c r="G54" t="n">
        <v>2</v>
      </c>
      <c r="H54" t="n">
        <v>50</v>
      </c>
      <c r="I54" t="n">
        <v>100</v>
      </c>
      <c r="J54">
        <f>TEXT(B54,"YYYY-MM")</f>
        <v/>
      </c>
      <c r="K54">
        <f>YEAR(B54)</f>
        <v/>
      </c>
    </row>
    <row r="55">
      <c r="A55" t="inlineStr">
        <is>
          <t>ORD-1054</t>
        </is>
      </c>
      <c r="B55" s="1" t="n">
        <v>45617</v>
      </c>
      <c r="C55" t="inlineStr">
        <is>
          <t>CUST-338</t>
        </is>
      </c>
      <c r="D55" t="inlineStr">
        <is>
          <t>West</t>
        </is>
      </c>
      <c r="E55" t="inlineStr">
        <is>
          <t>Headphones</t>
        </is>
      </c>
      <c r="F55" t="inlineStr">
        <is>
          <t>Electronics</t>
        </is>
      </c>
      <c r="G55" t="n">
        <v>6</v>
      </c>
      <c r="H55" t="n">
        <v>50</v>
      </c>
      <c r="I55" t="n">
        <v>300</v>
      </c>
      <c r="J55">
        <f>TEXT(B55,"YYYY-MM")</f>
        <v/>
      </c>
      <c r="K55">
        <f>YEAR(B55)</f>
        <v/>
      </c>
    </row>
    <row r="56">
      <c r="A56" t="inlineStr">
        <is>
          <t>ORD-1055</t>
        </is>
      </c>
      <c r="B56" s="1" t="n">
        <v>45656</v>
      </c>
      <c r="C56" t="inlineStr">
        <is>
          <t>CUST-464</t>
        </is>
      </c>
      <c r="D56" t="inlineStr">
        <is>
          <t>North</t>
        </is>
      </c>
      <c r="E56" t="inlineStr">
        <is>
          <t>Headphones</t>
        </is>
      </c>
      <c r="F56" t="inlineStr">
        <is>
          <t>Electronics</t>
        </is>
      </c>
      <c r="G56" t="n">
        <v>1</v>
      </c>
      <c r="H56" t="n">
        <v>50</v>
      </c>
      <c r="I56" t="n">
        <v>50</v>
      </c>
      <c r="J56">
        <f>TEXT(B56,"YYYY-MM")</f>
        <v/>
      </c>
      <c r="K56">
        <f>YEAR(B56)</f>
        <v/>
      </c>
    </row>
    <row r="57">
      <c r="A57" t="inlineStr">
        <is>
          <t>ORD-1056</t>
        </is>
      </c>
      <c r="B57" s="1" t="n">
        <v>45647</v>
      </c>
      <c r="C57" t="inlineStr">
        <is>
          <t>CUST-427</t>
        </is>
      </c>
      <c r="D57" t="inlineStr">
        <is>
          <t>South</t>
        </is>
      </c>
      <c r="E57" t="inlineStr">
        <is>
          <t>Headphones</t>
        </is>
      </c>
      <c r="F57" t="inlineStr">
        <is>
          <t>Electronics</t>
        </is>
      </c>
      <c r="G57" t="n">
        <v>10</v>
      </c>
      <c r="H57" t="n">
        <v>50</v>
      </c>
      <c r="I57" t="n">
        <v>500</v>
      </c>
      <c r="J57">
        <f>TEXT(B57,"YYYY-MM")</f>
        <v/>
      </c>
      <c r="K57">
        <f>YEAR(B57)</f>
        <v/>
      </c>
    </row>
    <row r="58">
      <c r="A58" t="inlineStr">
        <is>
          <t>ORD-1057</t>
        </is>
      </c>
      <c r="B58" s="1" t="n">
        <v>45336</v>
      </c>
      <c r="C58" t="inlineStr">
        <is>
          <t>CUST-117</t>
        </is>
      </c>
      <c r="D58" t="inlineStr">
        <is>
          <t>South</t>
        </is>
      </c>
      <c r="E58" t="inlineStr">
        <is>
          <t>Laptop</t>
        </is>
      </c>
      <c r="F58" t="inlineStr">
        <is>
          <t>Electronics</t>
        </is>
      </c>
      <c r="G58" t="n">
        <v>8</v>
      </c>
      <c r="H58" t="n">
        <v>800</v>
      </c>
      <c r="I58" t="n">
        <v>6400</v>
      </c>
      <c r="J58">
        <f>TEXT(B58,"YYYY-MM")</f>
        <v/>
      </c>
      <c r="K58">
        <f>YEAR(B58)</f>
        <v/>
      </c>
    </row>
    <row r="59">
      <c r="A59" t="inlineStr">
        <is>
          <t>ORD-1058</t>
        </is>
      </c>
      <c r="B59" s="1" t="n">
        <v>45304</v>
      </c>
      <c r="C59" t="inlineStr">
        <is>
          <t>CUST-179</t>
        </is>
      </c>
      <c r="D59" t="inlineStr">
        <is>
          <t>South</t>
        </is>
      </c>
      <c r="E59" t="inlineStr">
        <is>
          <t>Headphones</t>
        </is>
      </c>
      <c r="F59" t="inlineStr">
        <is>
          <t>Electronics</t>
        </is>
      </c>
      <c r="G59" t="n">
        <v>10</v>
      </c>
      <c r="H59" t="n">
        <v>50</v>
      </c>
      <c r="I59" t="n">
        <v>500</v>
      </c>
      <c r="J59">
        <f>TEXT(B59,"YYYY-MM")</f>
        <v/>
      </c>
      <c r="K59">
        <f>YEAR(B59)</f>
        <v/>
      </c>
    </row>
    <row r="60">
      <c r="A60" t="inlineStr">
        <is>
          <t>ORD-1059</t>
        </is>
      </c>
      <c r="B60" s="1" t="n">
        <v>45389</v>
      </c>
      <c r="C60" t="inlineStr">
        <is>
          <t>CUST-288</t>
        </is>
      </c>
      <c r="D60" t="inlineStr">
        <is>
          <t>West</t>
        </is>
      </c>
      <c r="E60" t="inlineStr">
        <is>
          <t>Blender</t>
        </is>
      </c>
      <c r="F60" t="inlineStr">
        <is>
          <t>Appliances</t>
        </is>
      </c>
      <c r="G60" t="n">
        <v>4</v>
      </c>
      <c r="H60" t="n">
        <v>80</v>
      </c>
      <c r="I60" t="n">
        <v>320</v>
      </c>
      <c r="J60">
        <f>TEXT(B60,"YYYY-MM")</f>
        <v/>
      </c>
      <c r="K60">
        <f>YEAR(B60)</f>
        <v/>
      </c>
    </row>
    <row r="61">
      <c r="A61" t="inlineStr">
        <is>
          <t>ORD-1060</t>
        </is>
      </c>
      <c r="B61" s="1" t="n">
        <v>45778</v>
      </c>
      <c r="C61" t="inlineStr">
        <is>
          <t>CUST-263</t>
        </is>
      </c>
      <c r="D61" t="inlineStr">
        <is>
          <t>South</t>
        </is>
      </c>
      <c r="E61" t="inlineStr">
        <is>
          <t>Table</t>
        </is>
      </c>
      <c r="F61" t="inlineStr">
        <is>
          <t>Furniture</t>
        </is>
      </c>
      <c r="G61" t="n">
        <v>7</v>
      </c>
      <c r="H61" t="n">
        <v>150</v>
      </c>
      <c r="I61" t="n">
        <v>1050</v>
      </c>
      <c r="J61">
        <f>TEXT(B61,"YYYY-MM")</f>
        <v/>
      </c>
      <c r="K61">
        <f>YEAR(B61)</f>
        <v/>
      </c>
    </row>
    <row r="62">
      <c r="A62" t="inlineStr">
        <is>
          <t>ORD-1061</t>
        </is>
      </c>
      <c r="B62" s="1" t="n">
        <v>45486</v>
      </c>
      <c r="C62" t="inlineStr">
        <is>
          <t>CUST-187</t>
        </is>
      </c>
      <c r="D62" t="inlineStr">
        <is>
          <t>West</t>
        </is>
      </c>
      <c r="E62" t="inlineStr">
        <is>
          <t>Sofa</t>
        </is>
      </c>
      <c r="F62" t="inlineStr">
        <is>
          <t>Furniture</t>
        </is>
      </c>
      <c r="G62" t="n">
        <v>4</v>
      </c>
      <c r="H62" t="n">
        <v>400</v>
      </c>
      <c r="I62" t="n">
        <v>1600</v>
      </c>
      <c r="J62">
        <f>TEXT(B62,"YYYY-MM")</f>
        <v/>
      </c>
      <c r="K62">
        <f>YEAR(B62)</f>
        <v/>
      </c>
    </row>
    <row r="63">
      <c r="A63" t="inlineStr">
        <is>
          <t>ORD-1062</t>
        </is>
      </c>
      <c r="B63" s="1" t="n">
        <v>45322</v>
      </c>
      <c r="C63" t="inlineStr">
        <is>
          <t>CUST-107</t>
        </is>
      </c>
      <c r="D63" t="inlineStr">
        <is>
          <t>West</t>
        </is>
      </c>
      <c r="E63" t="inlineStr">
        <is>
          <t>Laptop</t>
        </is>
      </c>
      <c r="F63" t="inlineStr">
        <is>
          <t>Electronics</t>
        </is>
      </c>
      <c r="G63" t="n">
        <v>10</v>
      </c>
      <c r="H63" t="n">
        <v>800</v>
      </c>
      <c r="I63" t="n">
        <v>8000</v>
      </c>
      <c r="J63">
        <f>TEXT(B63,"YYYY-MM")</f>
        <v/>
      </c>
      <c r="K63">
        <f>YEAR(B63)</f>
        <v/>
      </c>
    </row>
    <row r="64">
      <c r="A64" t="inlineStr">
        <is>
          <t>ORD-1063</t>
        </is>
      </c>
      <c r="B64" s="1" t="n">
        <v>45894</v>
      </c>
      <c r="C64" t="inlineStr">
        <is>
          <t>CUST-243</t>
        </is>
      </c>
      <c r="D64" t="inlineStr">
        <is>
          <t>West</t>
        </is>
      </c>
      <c r="E64" t="inlineStr">
        <is>
          <t>Refrigerator</t>
        </is>
      </c>
      <c r="F64" t="inlineStr">
        <is>
          <t>Appliances</t>
        </is>
      </c>
      <c r="G64" t="n">
        <v>1</v>
      </c>
      <c r="H64" t="n">
        <v>600</v>
      </c>
      <c r="I64" t="n">
        <v>600</v>
      </c>
      <c r="J64">
        <f>TEXT(B64,"YYYY-MM")</f>
        <v/>
      </c>
      <c r="K64">
        <f>YEAR(B64)</f>
        <v/>
      </c>
    </row>
    <row r="65">
      <c r="A65" t="inlineStr">
        <is>
          <t>ORD-1064</t>
        </is>
      </c>
      <c r="B65" s="1" t="n">
        <v>45749</v>
      </c>
      <c r="C65" t="inlineStr">
        <is>
          <t>CUST-165</t>
        </is>
      </c>
      <c r="D65" t="inlineStr">
        <is>
          <t>West</t>
        </is>
      </c>
      <c r="E65" t="inlineStr">
        <is>
          <t>Laptop</t>
        </is>
      </c>
      <c r="F65" t="inlineStr">
        <is>
          <t>Electronics</t>
        </is>
      </c>
      <c r="G65" t="n">
        <v>5</v>
      </c>
      <c r="H65" t="n">
        <v>800</v>
      </c>
      <c r="I65" t="n">
        <v>4000</v>
      </c>
      <c r="J65">
        <f>TEXT(B65,"YYYY-MM")</f>
        <v/>
      </c>
      <c r="K65">
        <f>YEAR(B65)</f>
        <v/>
      </c>
    </row>
    <row r="66">
      <c r="A66" t="inlineStr">
        <is>
          <t>ORD-1065</t>
        </is>
      </c>
      <c r="B66" s="1" t="n">
        <v>45799</v>
      </c>
      <c r="C66" t="inlineStr">
        <is>
          <t>CUST-236</t>
        </is>
      </c>
      <c r="D66" t="inlineStr">
        <is>
          <t>North</t>
        </is>
      </c>
      <c r="E66" t="inlineStr">
        <is>
          <t>Sofa</t>
        </is>
      </c>
      <c r="F66" t="inlineStr">
        <is>
          <t>Furniture</t>
        </is>
      </c>
      <c r="G66" t="n">
        <v>10</v>
      </c>
      <c r="H66" t="n">
        <v>400</v>
      </c>
      <c r="I66" t="n">
        <v>4000</v>
      </c>
      <c r="J66">
        <f>TEXT(B66,"YYYY-MM")</f>
        <v/>
      </c>
      <c r="K66">
        <f>YEAR(B66)</f>
        <v/>
      </c>
    </row>
    <row r="67">
      <c r="A67" t="inlineStr">
        <is>
          <t>ORD-1066</t>
        </is>
      </c>
      <c r="B67" s="1" t="n">
        <v>45800</v>
      </c>
      <c r="C67" t="inlineStr">
        <is>
          <t>CUST-166</t>
        </is>
      </c>
      <c r="D67" t="inlineStr">
        <is>
          <t>West</t>
        </is>
      </c>
      <c r="E67" t="inlineStr">
        <is>
          <t>Table</t>
        </is>
      </c>
      <c r="F67" t="inlineStr">
        <is>
          <t>Furniture</t>
        </is>
      </c>
      <c r="G67" t="n">
        <v>7</v>
      </c>
      <c r="H67" t="n">
        <v>150</v>
      </c>
      <c r="I67" t="n">
        <v>1050</v>
      </c>
      <c r="J67">
        <f>TEXT(B67,"YYYY-MM")</f>
        <v/>
      </c>
      <c r="K67">
        <f>YEAR(B67)</f>
        <v/>
      </c>
    </row>
    <row r="68">
      <c r="A68" t="inlineStr">
        <is>
          <t>ORD-1067</t>
        </is>
      </c>
      <c r="B68" s="1" t="n">
        <v>45481</v>
      </c>
      <c r="C68" t="inlineStr">
        <is>
          <t>CUST-415</t>
        </is>
      </c>
      <c r="D68" t="inlineStr">
        <is>
          <t>South</t>
        </is>
      </c>
      <c r="E68" t="inlineStr">
        <is>
          <t>Table</t>
        </is>
      </c>
      <c r="F68" t="inlineStr">
        <is>
          <t>Furniture</t>
        </is>
      </c>
      <c r="G68" t="n">
        <v>10</v>
      </c>
      <c r="H68" t="n">
        <v>150</v>
      </c>
      <c r="I68" t="n">
        <v>1500</v>
      </c>
      <c r="J68">
        <f>TEXT(B68,"YYYY-MM")</f>
        <v/>
      </c>
      <c r="K68">
        <f>YEAR(B68)</f>
        <v/>
      </c>
    </row>
    <row r="69">
      <c r="A69" t="inlineStr">
        <is>
          <t>ORD-1068</t>
        </is>
      </c>
      <c r="B69" s="1" t="n">
        <v>45701</v>
      </c>
      <c r="C69" t="inlineStr">
        <is>
          <t>CUST-187</t>
        </is>
      </c>
      <c r="D69" t="inlineStr">
        <is>
          <t>South</t>
        </is>
      </c>
      <c r="E69" t="inlineStr">
        <is>
          <t>Headphones</t>
        </is>
      </c>
      <c r="F69" t="inlineStr">
        <is>
          <t>Electronics</t>
        </is>
      </c>
      <c r="G69" t="n">
        <v>2</v>
      </c>
      <c r="H69" t="n">
        <v>50</v>
      </c>
      <c r="I69" t="n">
        <v>100</v>
      </c>
      <c r="J69">
        <f>TEXT(B69,"YYYY-MM")</f>
        <v/>
      </c>
      <c r="K69">
        <f>YEAR(B69)</f>
        <v/>
      </c>
    </row>
    <row r="70">
      <c r="A70" t="inlineStr">
        <is>
          <t>ORD-1069</t>
        </is>
      </c>
      <c r="B70" s="1" t="n">
        <v>45473</v>
      </c>
      <c r="C70" t="inlineStr">
        <is>
          <t>CUST-306</t>
        </is>
      </c>
      <c r="D70" t="inlineStr">
        <is>
          <t>West</t>
        </is>
      </c>
      <c r="E70" t="inlineStr">
        <is>
          <t>Blender</t>
        </is>
      </c>
      <c r="F70" t="inlineStr">
        <is>
          <t>Appliances</t>
        </is>
      </c>
      <c r="G70" t="n">
        <v>10</v>
      </c>
      <c r="H70" t="n">
        <v>80</v>
      </c>
      <c r="I70" t="n">
        <v>800</v>
      </c>
      <c r="J70">
        <f>TEXT(B70,"YYYY-MM")</f>
        <v/>
      </c>
      <c r="K70">
        <f>YEAR(B70)</f>
        <v/>
      </c>
    </row>
    <row r="71">
      <c r="A71" t="inlineStr">
        <is>
          <t>ORD-1070</t>
        </is>
      </c>
      <c r="B71" s="1" t="n">
        <v>45680</v>
      </c>
      <c r="C71" t="inlineStr">
        <is>
          <t>CUST-494</t>
        </is>
      </c>
      <c r="D71" t="inlineStr">
        <is>
          <t>North</t>
        </is>
      </c>
      <c r="E71" t="inlineStr">
        <is>
          <t>Table</t>
        </is>
      </c>
      <c r="F71" t="inlineStr">
        <is>
          <t>Furniture</t>
        </is>
      </c>
      <c r="G71" t="n">
        <v>7</v>
      </c>
      <c r="H71" t="n">
        <v>150</v>
      </c>
      <c r="I71" t="n">
        <v>1050</v>
      </c>
      <c r="J71">
        <f>TEXT(B71,"YYYY-MM")</f>
        <v/>
      </c>
      <c r="K71">
        <f>YEAR(B71)</f>
        <v/>
      </c>
    </row>
    <row r="72">
      <c r="A72" t="inlineStr">
        <is>
          <t>ORD-1071</t>
        </is>
      </c>
      <c r="B72" s="1" t="n">
        <v>45837</v>
      </c>
      <c r="C72" t="inlineStr">
        <is>
          <t>CUST-127</t>
        </is>
      </c>
      <c r="D72" t="inlineStr">
        <is>
          <t>North</t>
        </is>
      </c>
      <c r="E72" t="inlineStr">
        <is>
          <t>Refrigerator</t>
        </is>
      </c>
      <c r="F72" t="inlineStr">
        <is>
          <t>Appliances</t>
        </is>
      </c>
      <c r="G72" t="n">
        <v>5</v>
      </c>
      <c r="H72" t="n">
        <v>600</v>
      </c>
      <c r="I72" t="n">
        <v>3000</v>
      </c>
      <c r="J72">
        <f>TEXT(B72,"YYYY-MM")</f>
        <v/>
      </c>
      <c r="K72">
        <f>YEAR(B72)</f>
        <v/>
      </c>
    </row>
    <row r="73">
      <c r="A73" t="inlineStr">
        <is>
          <t>ORD-1072</t>
        </is>
      </c>
      <c r="B73" s="1" t="n">
        <v>45685</v>
      </c>
      <c r="C73" t="inlineStr">
        <is>
          <t>CUST-195</t>
        </is>
      </c>
      <c r="D73" t="inlineStr">
        <is>
          <t>East</t>
        </is>
      </c>
      <c r="E73" t="inlineStr">
        <is>
          <t>Table</t>
        </is>
      </c>
      <c r="F73" t="inlineStr">
        <is>
          <t>Furniture</t>
        </is>
      </c>
      <c r="G73" t="n">
        <v>3</v>
      </c>
      <c r="H73" t="n">
        <v>150</v>
      </c>
      <c r="I73" t="n">
        <v>450</v>
      </c>
      <c r="J73">
        <f>TEXT(B73,"YYYY-MM")</f>
        <v/>
      </c>
      <c r="K73">
        <f>YEAR(B73)</f>
        <v/>
      </c>
    </row>
    <row r="74">
      <c r="A74" t="inlineStr">
        <is>
          <t>ORD-1073</t>
        </is>
      </c>
      <c r="B74" s="1" t="n">
        <v>45596</v>
      </c>
      <c r="C74" t="inlineStr">
        <is>
          <t>CUST-357</t>
        </is>
      </c>
      <c r="D74" t="inlineStr">
        <is>
          <t>North</t>
        </is>
      </c>
      <c r="E74" t="inlineStr">
        <is>
          <t>Sofa</t>
        </is>
      </c>
      <c r="F74" t="inlineStr">
        <is>
          <t>Furniture</t>
        </is>
      </c>
      <c r="G74" t="n">
        <v>3</v>
      </c>
      <c r="H74" t="n">
        <v>400</v>
      </c>
      <c r="I74" t="n">
        <v>1200</v>
      </c>
      <c r="J74">
        <f>TEXT(B74,"YYYY-MM")</f>
        <v/>
      </c>
      <c r="K74">
        <f>YEAR(B74)</f>
        <v/>
      </c>
    </row>
    <row r="75">
      <c r="A75" t="inlineStr">
        <is>
          <t>ORD-1074</t>
        </is>
      </c>
      <c r="B75" s="1" t="n">
        <v>45453</v>
      </c>
      <c r="C75" t="inlineStr">
        <is>
          <t>CUST-394</t>
        </is>
      </c>
      <c r="D75" t="inlineStr">
        <is>
          <t>East</t>
        </is>
      </c>
      <c r="E75" t="inlineStr">
        <is>
          <t>Refrigerator</t>
        </is>
      </c>
      <c r="F75" t="inlineStr">
        <is>
          <t>Appliances</t>
        </is>
      </c>
      <c r="G75" t="n">
        <v>7</v>
      </c>
      <c r="H75" t="n">
        <v>600</v>
      </c>
      <c r="I75" t="n">
        <v>4200</v>
      </c>
      <c r="J75">
        <f>TEXT(B75,"YYYY-MM")</f>
        <v/>
      </c>
      <c r="K75">
        <f>YEAR(B75)</f>
        <v/>
      </c>
    </row>
    <row r="76">
      <c r="A76" t="inlineStr">
        <is>
          <t>ORD-1075</t>
        </is>
      </c>
      <c r="B76" s="1" t="n">
        <v>45459</v>
      </c>
      <c r="C76" t="inlineStr">
        <is>
          <t>CUST-357</t>
        </is>
      </c>
      <c r="D76" t="inlineStr">
        <is>
          <t>West</t>
        </is>
      </c>
      <c r="E76" t="inlineStr">
        <is>
          <t>Laptop</t>
        </is>
      </c>
      <c r="F76" t="inlineStr">
        <is>
          <t>Electronics</t>
        </is>
      </c>
      <c r="G76" t="n">
        <v>3</v>
      </c>
      <c r="H76" t="n">
        <v>800</v>
      </c>
      <c r="I76" t="n">
        <v>2400</v>
      </c>
      <c r="J76">
        <f>TEXT(B76,"YYYY-MM")</f>
        <v/>
      </c>
      <c r="K76">
        <f>YEAR(B76)</f>
        <v/>
      </c>
    </row>
    <row r="77">
      <c r="A77" t="inlineStr">
        <is>
          <t>ORD-1076</t>
        </is>
      </c>
      <c r="B77" s="1" t="n">
        <v>45728</v>
      </c>
      <c r="C77" t="inlineStr">
        <is>
          <t>CUST-448</t>
        </is>
      </c>
      <c r="D77" t="inlineStr">
        <is>
          <t>South</t>
        </is>
      </c>
      <c r="E77" t="inlineStr">
        <is>
          <t>Laptop</t>
        </is>
      </c>
      <c r="F77" t="inlineStr">
        <is>
          <t>Electronics</t>
        </is>
      </c>
      <c r="G77" t="n">
        <v>8</v>
      </c>
      <c r="H77" t="n">
        <v>800</v>
      </c>
      <c r="I77" t="n">
        <v>6400</v>
      </c>
      <c r="J77">
        <f>TEXT(B77,"YYYY-MM")</f>
        <v/>
      </c>
      <c r="K77">
        <f>YEAR(B77)</f>
        <v/>
      </c>
    </row>
    <row r="78">
      <c r="A78" t="inlineStr">
        <is>
          <t>ORD-1077</t>
        </is>
      </c>
      <c r="B78" s="1" t="n">
        <v>45329</v>
      </c>
      <c r="C78" t="inlineStr">
        <is>
          <t>CUST-153</t>
        </is>
      </c>
      <c r="D78" t="inlineStr">
        <is>
          <t>East</t>
        </is>
      </c>
      <c r="E78" t="inlineStr">
        <is>
          <t>Headphones</t>
        </is>
      </c>
      <c r="F78" t="inlineStr">
        <is>
          <t>Electronics</t>
        </is>
      </c>
      <c r="G78" t="n">
        <v>3</v>
      </c>
      <c r="H78" t="n">
        <v>50</v>
      </c>
      <c r="I78" t="n">
        <v>150</v>
      </c>
      <c r="J78">
        <f>TEXT(B78,"YYYY-MM")</f>
        <v/>
      </c>
      <c r="K78">
        <f>YEAR(B78)</f>
        <v/>
      </c>
    </row>
    <row r="79">
      <c r="A79" t="inlineStr">
        <is>
          <t>ORD-1078</t>
        </is>
      </c>
      <c r="B79" s="1" t="n">
        <v>45433</v>
      </c>
      <c r="C79" t="inlineStr">
        <is>
          <t>CUST-273</t>
        </is>
      </c>
      <c r="D79" t="inlineStr">
        <is>
          <t>East</t>
        </is>
      </c>
      <c r="E79" t="inlineStr">
        <is>
          <t>Sofa</t>
        </is>
      </c>
      <c r="F79" t="inlineStr">
        <is>
          <t>Furniture</t>
        </is>
      </c>
      <c r="G79" t="n">
        <v>10</v>
      </c>
      <c r="H79" t="n">
        <v>400</v>
      </c>
      <c r="I79" t="n">
        <v>4000</v>
      </c>
      <c r="J79">
        <f>TEXT(B79,"YYYY-MM")</f>
        <v/>
      </c>
      <c r="K79">
        <f>YEAR(B79)</f>
        <v/>
      </c>
    </row>
    <row r="80">
      <c r="A80" t="inlineStr">
        <is>
          <t>ORD-1079</t>
        </is>
      </c>
      <c r="B80" s="1" t="n">
        <v>45547</v>
      </c>
      <c r="C80" t="inlineStr">
        <is>
          <t>CUST-312</t>
        </is>
      </c>
      <c r="D80" t="inlineStr">
        <is>
          <t>North</t>
        </is>
      </c>
      <c r="E80" t="inlineStr">
        <is>
          <t>Refrigerator</t>
        </is>
      </c>
      <c r="F80" t="inlineStr">
        <is>
          <t>Appliances</t>
        </is>
      </c>
      <c r="G80" t="n">
        <v>5</v>
      </c>
      <c r="H80" t="n">
        <v>600</v>
      </c>
      <c r="I80" t="n">
        <v>3000</v>
      </c>
      <c r="J80">
        <f>TEXT(B80,"YYYY-MM")</f>
        <v/>
      </c>
      <c r="K80">
        <f>YEAR(B80)</f>
        <v/>
      </c>
    </row>
    <row r="81">
      <c r="A81" t="inlineStr">
        <is>
          <t>ORD-1080</t>
        </is>
      </c>
      <c r="B81" s="1" t="n">
        <v>45476</v>
      </c>
      <c r="C81" t="inlineStr">
        <is>
          <t>CUST-217</t>
        </is>
      </c>
      <c r="D81" t="inlineStr">
        <is>
          <t>North</t>
        </is>
      </c>
      <c r="E81" t="inlineStr">
        <is>
          <t>Blender</t>
        </is>
      </c>
      <c r="F81" t="inlineStr">
        <is>
          <t>Appliances</t>
        </is>
      </c>
      <c r="G81" t="n">
        <v>8</v>
      </c>
      <c r="H81" t="n">
        <v>80</v>
      </c>
      <c r="I81" t="n">
        <v>640</v>
      </c>
      <c r="J81">
        <f>TEXT(B81,"YYYY-MM")</f>
        <v/>
      </c>
      <c r="K81">
        <f>YEAR(B81)</f>
        <v/>
      </c>
    </row>
    <row r="82">
      <c r="A82" t="inlineStr">
        <is>
          <t>ORD-1081</t>
        </is>
      </c>
      <c r="B82" s="1" t="n">
        <v>45326</v>
      </c>
      <c r="C82" t="inlineStr">
        <is>
          <t>CUST-349</t>
        </is>
      </c>
      <c r="D82" t="inlineStr">
        <is>
          <t>South</t>
        </is>
      </c>
      <c r="E82" t="inlineStr">
        <is>
          <t>Blender</t>
        </is>
      </c>
      <c r="F82" t="inlineStr">
        <is>
          <t>Appliances</t>
        </is>
      </c>
      <c r="G82" t="n">
        <v>7</v>
      </c>
      <c r="H82" t="n">
        <v>80</v>
      </c>
      <c r="I82" t="n">
        <v>560</v>
      </c>
      <c r="J82">
        <f>TEXT(B82,"YYYY-MM")</f>
        <v/>
      </c>
      <c r="K82">
        <f>YEAR(B82)</f>
        <v/>
      </c>
    </row>
    <row r="83">
      <c r="A83" t="inlineStr">
        <is>
          <t>ORD-1082</t>
        </is>
      </c>
      <c r="B83" s="1" t="n">
        <v>45979</v>
      </c>
      <c r="C83" t="inlineStr">
        <is>
          <t>CUST-289</t>
        </is>
      </c>
      <c r="D83" t="inlineStr">
        <is>
          <t>South</t>
        </is>
      </c>
      <c r="E83" t="inlineStr">
        <is>
          <t>Blender</t>
        </is>
      </c>
      <c r="F83" t="inlineStr">
        <is>
          <t>Appliances</t>
        </is>
      </c>
      <c r="G83" t="n">
        <v>6</v>
      </c>
      <c r="H83" t="n">
        <v>80</v>
      </c>
      <c r="I83" t="n">
        <v>480</v>
      </c>
      <c r="J83">
        <f>TEXT(B83,"YYYY-MM")</f>
        <v/>
      </c>
      <c r="K83">
        <f>YEAR(B83)</f>
        <v/>
      </c>
    </row>
    <row r="84">
      <c r="A84" t="inlineStr">
        <is>
          <t>ORD-1083</t>
        </is>
      </c>
      <c r="B84" s="1" t="n">
        <v>45810</v>
      </c>
      <c r="C84" t="inlineStr">
        <is>
          <t>CUST-170</t>
        </is>
      </c>
      <c r="D84" t="inlineStr">
        <is>
          <t>South</t>
        </is>
      </c>
      <c r="E84" t="inlineStr">
        <is>
          <t>Laptop</t>
        </is>
      </c>
      <c r="F84" t="inlineStr">
        <is>
          <t>Electronics</t>
        </is>
      </c>
      <c r="G84" t="n">
        <v>4</v>
      </c>
      <c r="H84" t="n">
        <v>800</v>
      </c>
      <c r="I84" t="n">
        <v>3200</v>
      </c>
      <c r="J84">
        <f>TEXT(B84,"YYYY-MM")</f>
        <v/>
      </c>
      <c r="K84">
        <f>YEAR(B84)</f>
        <v/>
      </c>
    </row>
    <row r="85">
      <c r="A85" t="inlineStr">
        <is>
          <t>ORD-1084</t>
        </is>
      </c>
      <c r="B85" s="1" t="n">
        <v>45544</v>
      </c>
      <c r="C85" t="inlineStr">
        <is>
          <t>CUST-215</t>
        </is>
      </c>
      <c r="D85" t="inlineStr">
        <is>
          <t>South</t>
        </is>
      </c>
      <c r="E85" t="inlineStr">
        <is>
          <t>Table</t>
        </is>
      </c>
      <c r="F85" t="inlineStr">
        <is>
          <t>Furniture</t>
        </is>
      </c>
      <c r="G85" t="n">
        <v>5</v>
      </c>
      <c r="H85" t="n">
        <v>150</v>
      </c>
      <c r="I85" t="n">
        <v>750</v>
      </c>
      <c r="J85">
        <f>TEXT(B85,"YYYY-MM")</f>
        <v/>
      </c>
      <c r="K85">
        <f>YEAR(B85)</f>
        <v/>
      </c>
    </row>
    <row r="86">
      <c r="A86" t="inlineStr">
        <is>
          <t>ORD-1085</t>
        </is>
      </c>
      <c r="B86" s="1" t="n">
        <v>45862</v>
      </c>
      <c r="C86" t="inlineStr">
        <is>
          <t>CUST-452</t>
        </is>
      </c>
      <c r="D86" t="inlineStr">
        <is>
          <t>North</t>
        </is>
      </c>
      <c r="E86" t="inlineStr">
        <is>
          <t>Table</t>
        </is>
      </c>
      <c r="F86" t="inlineStr">
        <is>
          <t>Furniture</t>
        </is>
      </c>
      <c r="G86" t="n">
        <v>3</v>
      </c>
      <c r="H86" t="n">
        <v>150</v>
      </c>
      <c r="I86" t="n">
        <v>450</v>
      </c>
      <c r="J86">
        <f>TEXT(B86,"YYYY-MM")</f>
        <v/>
      </c>
      <c r="K86">
        <f>YEAR(B86)</f>
        <v/>
      </c>
    </row>
    <row r="87">
      <c r="A87" t="inlineStr">
        <is>
          <t>ORD-1086</t>
        </is>
      </c>
      <c r="B87" s="1" t="n">
        <v>45931</v>
      </c>
      <c r="C87" t="inlineStr">
        <is>
          <t>CUST-105</t>
        </is>
      </c>
      <c r="D87" t="inlineStr">
        <is>
          <t>South</t>
        </is>
      </c>
      <c r="E87" t="inlineStr">
        <is>
          <t>Refrigerator</t>
        </is>
      </c>
      <c r="F87" t="inlineStr">
        <is>
          <t>Appliances</t>
        </is>
      </c>
      <c r="G87" t="n">
        <v>4</v>
      </c>
      <c r="H87" t="n">
        <v>600</v>
      </c>
      <c r="I87" t="n">
        <v>2400</v>
      </c>
      <c r="J87">
        <f>TEXT(B87,"YYYY-MM")</f>
        <v/>
      </c>
      <c r="K87">
        <f>YEAR(B87)</f>
        <v/>
      </c>
    </row>
    <row r="88">
      <c r="A88" t="inlineStr">
        <is>
          <t>ORD-1087</t>
        </is>
      </c>
      <c r="B88" s="1" t="n">
        <v>45358</v>
      </c>
      <c r="C88" t="inlineStr">
        <is>
          <t>CUST-170</t>
        </is>
      </c>
      <c r="D88" t="inlineStr">
        <is>
          <t>East</t>
        </is>
      </c>
      <c r="E88" t="inlineStr">
        <is>
          <t>Refrigerator</t>
        </is>
      </c>
      <c r="F88" t="inlineStr">
        <is>
          <t>Appliances</t>
        </is>
      </c>
      <c r="G88" t="n">
        <v>5</v>
      </c>
      <c r="H88" t="n">
        <v>600</v>
      </c>
      <c r="I88" t="n">
        <v>3000</v>
      </c>
      <c r="J88">
        <f>TEXT(B88,"YYYY-MM")</f>
        <v/>
      </c>
      <c r="K88">
        <f>YEAR(B88)</f>
        <v/>
      </c>
    </row>
    <row r="89">
      <c r="A89" t="inlineStr">
        <is>
          <t>ORD-1088</t>
        </is>
      </c>
      <c r="B89" s="1" t="n">
        <v>45962</v>
      </c>
      <c r="C89" t="inlineStr">
        <is>
          <t>CUST-454</t>
        </is>
      </c>
      <c r="D89" t="inlineStr">
        <is>
          <t>East</t>
        </is>
      </c>
      <c r="E89" t="inlineStr">
        <is>
          <t>Laptop</t>
        </is>
      </c>
      <c r="F89" t="inlineStr">
        <is>
          <t>Electronics</t>
        </is>
      </c>
      <c r="G89" t="n">
        <v>7</v>
      </c>
      <c r="H89" t="n">
        <v>800</v>
      </c>
      <c r="I89" t="n">
        <v>5600</v>
      </c>
      <c r="J89">
        <f>TEXT(B89,"YYYY-MM")</f>
        <v/>
      </c>
      <c r="K89">
        <f>YEAR(B89)</f>
        <v/>
      </c>
    </row>
    <row r="90">
      <c r="A90" t="inlineStr">
        <is>
          <t>ORD-1089</t>
        </is>
      </c>
      <c r="B90" s="1" t="n">
        <v>45712</v>
      </c>
      <c r="C90" t="inlineStr">
        <is>
          <t>CUST-256</t>
        </is>
      </c>
      <c r="D90" t="inlineStr">
        <is>
          <t>South</t>
        </is>
      </c>
      <c r="E90" t="inlineStr">
        <is>
          <t>Laptop</t>
        </is>
      </c>
      <c r="F90" t="inlineStr">
        <is>
          <t>Electronics</t>
        </is>
      </c>
      <c r="G90" t="n">
        <v>3</v>
      </c>
      <c r="H90" t="n">
        <v>800</v>
      </c>
      <c r="I90" t="n">
        <v>2400</v>
      </c>
      <c r="J90">
        <f>TEXT(B90,"YYYY-MM")</f>
        <v/>
      </c>
      <c r="K90">
        <f>YEAR(B90)</f>
        <v/>
      </c>
    </row>
    <row r="91">
      <c r="A91" t="inlineStr">
        <is>
          <t>ORD-1090</t>
        </is>
      </c>
      <c r="B91" s="1" t="n">
        <v>45455</v>
      </c>
      <c r="C91" t="inlineStr">
        <is>
          <t>CUST-182</t>
        </is>
      </c>
      <c r="D91" t="inlineStr">
        <is>
          <t>North</t>
        </is>
      </c>
      <c r="E91" t="inlineStr">
        <is>
          <t>Laptop</t>
        </is>
      </c>
      <c r="F91" t="inlineStr">
        <is>
          <t>Electronics</t>
        </is>
      </c>
      <c r="G91" t="n">
        <v>10</v>
      </c>
      <c r="H91" t="n">
        <v>800</v>
      </c>
      <c r="I91" t="n">
        <v>8000</v>
      </c>
      <c r="J91">
        <f>TEXT(B91,"YYYY-MM")</f>
        <v/>
      </c>
      <c r="K91">
        <f>YEAR(B91)</f>
        <v/>
      </c>
    </row>
    <row r="92">
      <c r="A92" t="inlineStr">
        <is>
          <t>ORD-1091</t>
        </is>
      </c>
      <c r="B92" s="1" t="n">
        <v>45446</v>
      </c>
      <c r="C92" t="inlineStr">
        <is>
          <t>CUST-411</t>
        </is>
      </c>
      <c r="D92" t="inlineStr">
        <is>
          <t>South</t>
        </is>
      </c>
      <c r="E92" t="inlineStr">
        <is>
          <t>Refrigerator</t>
        </is>
      </c>
      <c r="F92" t="inlineStr">
        <is>
          <t>Appliances</t>
        </is>
      </c>
      <c r="G92" t="n">
        <v>7</v>
      </c>
      <c r="H92" t="n">
        <v>600</v>
      </c>
      <c r="I92" t="n">
        <v>4200</v>
      </c>
      <c r="J92">
        <f>TEXT(B92,"YYYY-MM")</f>
        <v/>
      </c>
      <c r="K92">
        <f>YEAR(B92)</f>
        <v/>
      </c>
    </row>
    <row r="93">
      <c r="A93" t="inlineStr">
        <is>
          <t>ORD-1092</t>
        </is>
      </c>
      <c r="B93" s="1" t="n">
        <v>45831</v>
      </c>
      <c r="C93" t="inlineStr">
        <is>
          <t>CUST-369</t>
        </is>
      </c>
      <c r="D93" t="inlineStr">
        <is>
          <t>South</t>
        </is>
      </c>
      <c r="E93" t="inlineStr">
        <is>
          <t>Refrigerator</t>
        </is>
      </c>
      <c r="F93" t="inlineStr">
        <is>
          <t>Appliances</t>
        </is>
      </c>
      <c r="G93" t="n">
        <v>8</v>
      </c>
      <c r="H93" t="n">
        <v>600</v>
      </c>
      <c r="I93" t="n">
        <v>4800</v>
      </c>
      <c r="J93">
        <f>TEXT(B93,"YYYY-MM")</f>
        <v/>
      </c>
      <c r="K93">
        <f>YEAR(B93)</f>
        <v/>
      </c>
    </row>
    <row r="94">
      <c r="A94" t="inlineStr">
        <is>
          <t>ORD-1093</t>
        </is>
      </c>
      <c r="B94" s="1" t="n">
        <v>45680</v>
      </c>
      <c r="C94" t="inlineStr">
        <is>
          <t>CUST-331</t>
        </is>
      </c>
      <c r="D94" t="inlineStr">
        <is>
          <t>North</t>
        </is>
      </c>
      <c r="E94" t="inlineStr">
        <is>
          <t>Sofa</t>
        </is>
      </c>
      <c r="F94" t="inlineStr">
        <is>
          <t>Furniture</t>
        </is>
      </c>
      <c r="G94" t="n">
        <v>9</v>
      </c>
      <c r="H94" t="n">
        <v>400</v>
      </c>
      <c r="I94" t="n">
        <v>3600</v>
      </c>
      <c r="J94">
        <f>TEXT(B94,"YYYY-MM")</f>
        <v/>
      </c>
      <c r="K94">
        <f>YEAR(B94)</f>
        <v/>
      </c>
    </row>
    <row r="95">
      <c r="A95" t="inlineStr">
        <is>
          <t>ORD-1094</t>
        </is>
      </c>
      <c r="B95" s="1" t="n">
        <v>45626</v>
      </c>
      <c r="C95" t="inlineStr">
        <is>
          <t>CUST-364</t>
        </is>
      </c>
      <c r="D95" t="inlineStr">
        <is>
          <t>West</t>
        </is>
      </c>
      <c r="E95" t="inlineStr">
        <is>
          <t>Table</t>
        </is>
      </c>
      <c r="F95" t="inlineStr">
        <is>
          <t>Furniture</t>
        </is>
      </c>
      <c r="G95" t="n">
        <v>9</v>
      </c>
      <c r="H95" t="n">
        <v>150</v>
      </c>
      <c r="I95" t="n">
        <v>1350</v>
      </c>
      <c r="J95">
        <f>TEXT(B95,"YYYY-MM")</f>
        <v/>
      </c>
      <c r="K95">
        <f>YEAR(B95)</f>
        <v/>
      </c>
    </row>
    <row r="96">
      <c r="A96" t="inlineStr">
        <is>
          <t>ORD-1095</t>
        </is>
      </c>
      <c r="B96" s="1" t="n">
        <v>45337</v>
      </c>
      <c r="C96" t="inlineStr">
        <is>
          <t>CUST-241</t>
        </is>
      </c>
      <c r="D96" t="inlineStr">
        <is>
          <t>North</t>
        </is>
      </c>
      <c r="E96" t="inlineStr">
        <is>
          <t>Blender</t>
        </is>
      </c>
      <c r="F96" t="inlineStr">
        <is>
          <t>Appliances</t>
        </is>
      </c>
      <c r="G96" t="n">
        <v>5</v>
      </c>
      <c r="H96" t="n">
        <v>80</v>
      </c>
      <c r="I96" t="n">
        <v>400</v>
      </c>
      <c r="J96">
        <f>TEXT(B96,"YYYY-MM")</f>
        <v/>
      </c>
      <c r="K96">
        <f>YEAR(B96)</f>
        <v/>
      </c>
    </row>
    <row r="97">
      <c r="A97" t="inlineStr">
        <is>
          <t>ORD-1096</t>
        </is>
      </c>
      <c r="B97" s="1" t="n">
        <v>45366</v>
      </c>
      <c r="C97" t="inlineStr">
        <is>
          <t>CUST-329</t>
        </is>
      </c>
      <c r="D97" t="inlineStr">
        <is>
          <t>West</t>
        </is>
      </c>
      <c r="E97" t="inlineStr">
        <is>
          <t>Refrigerator</t>
        </is>
      </c>
      <c r="F97" t="inlineStr">
        <is>
          <t>Appliances</t>
        </is>
      </c>
      <c r="G97" t="n">
        <v>7</v>
      </c>
      <c r="H97" t="n">
        <v>600</v>
      </c>
      <c r="I97" t="n">
        <v>4200</v>
      </c>
      <c r="J97">
        <f>TEXT(B97,"YYYY-MM")</f>
        <v/>
      </c>
      <c r="K97">
        <f>YEAR(B97)</f>
        <v/>
      </c>
    </row>
    <row r="98">
      <c r="A98" t="inlineStr">
        <is>
          <t>ORD-1097</t>
        </is>
      </c>
      <c r="B98" s="1" t="n">
        <v>45584</v>
      </c>
      <c r="C98" t="inlineStr">
        <is>
          <t>CUST-202</t>
        </is>
      </c>
      <c r="D98" t="inlineStr">
        <is>
          <t>East</t>
        </is>
      </c>
      <c r="E98" t="inlineStr">
        <is>
          <t>Laptop</t>
        </is>
      </c>
      <c r="F98" t="inlineStr">
        <is>
          <t>Electronics</t>
        </is>
      </c>
      <c r="G98" t="n">
        <v>9</v>
      </c>
      <c r="H98" t="n">
        <v>800</v>
      </c>
      <c r="I98" t="n">
        <v>7200</v>
      </c>
      <c r="J98">
        <f>TEXT(B98,"YYYY-MM")</f>
        <v/>
      </c>
      <c r="K98">
        <f>YEAR(B98)</f>
        <v/>
      </c>
    </row>
    <row r="99">
      <c r="A99" t="inlineStr">
        <is>
          <t>ORD-1098</t>
        </is>
      </c>
      <c r="B99" s="1" t="n">
        <v>45688</v>
      </c>
      <c r="C99" t="inlineStr">
        <is>
          <t>CUST-270</t>
        </is>
      </c>
      <c r="D99" t="inlineStr">
        <is>
          <t>South</t>
        </is>
      </c>
      <c r="E99" t="inlineStr">
        <is>
          <t>Headphones</t>
        </is>
      </c>
      <c r="F99" t="inlineStr">
        <is>
          <t>Electronics</t>
        </is>
      </c>
      <c r="G99" t="n">
        <v>10</v>
      </c>
      <c r="H99" t="n">
        <v>50</v>
      </c>
      <c r="I99" t="n">
        <v>500</v>
      </c>
      <c r="J99">
        <f>TEXT(B99,"YYYY-MM")</f>
        <v/>
      </c>
      <c r="K99">
        <f>YEAR(B99)</f>
        <v/>
      </c>
    </row>
    <row r="100">
      <c r="A100" t="inlineStr">
        <is>
          <t>ORD-1099</t>
        </is>
      </c>
      <c r="B100" s="1" t="n">
        <v>45525</v>
      </c>
      <c r="C100" t="inlineStr">
        <is>
          <t>CUST-355</t>
        </is>
      </c>
      <c r="D100" t="inlineStr">
        <is>
          <t>West</t>
        </is>
      </c>
      <c r="E100" t="inlineStr">
        <is>
          <t>Sofa</t>
        </is>
      </c>
      <c r="F100" t="inlineStr">
        <is>
          <t>Furniture</t>
        </is>
      </c>
      <c r="G100" t="n">
        <v>4</v>
      </c>
      <c r="H100" t="n">
        <v>400</v>
      </c>
      <c r="I100" t="n">
        <v>1600</v>
      </c>
      <c r="J100">
        <f>TEXT(B100,"YYYY-MM")</f>
        <v/>
      </c>
      <c r="K100">
        <f>YEAR(B100)</f>
        <v/>
      </c>
    </row>
    <row r="101">
      <c r="A101" t="inlineStr">
        <is>
          <t>ORD-1100</t>
        </is>
      </c>
      <c r="B101" s="1" t="n">
        <v>45607</v>
      </c>
      <c r="C101" t="inlineStr">
        <is>
          <t>CUST-395</t>
        </is>
      </c>
      <c r="D101" t="inlineStr">
        <is>
          <t>North</t>
        </is>
      </c>
      <c r="E101" t="inlineStr">
        <is>
          <t>Table</t>
        </is>
      </c>
      <c r="F101" t="inlineStr">
        <is>
          <t>Furniture</t>
        </is>
      </c>
      <c r="G101" t="n">
        <v>7</v>
      </c>
      <c r="H101" t="n">
        <v>150</v>
      </c>
      <c r="I101" t="n">
        <v>1050</v>
      </c>
      <c r="J101">
        <f>TEXT(B101,"YYYY-MM")</f>
        <v/>
      </c>
      <c r="K101">
        <f>YEAR(B101)</f>
        <v/>
      </c>
    </row>
    <row r="102">
      <c r="A102" t="inlineStr">
        <is>
          <t>ORD-1101</t>
        </is>
      </c>
      <c r="B102" s="1" t="n">
        <v>45326</v>
      </c>
      <c r="C102" t="inlineStr">
        <is>
          <t>CUST-409</t>
        </is>
      </c>
      <c r="D102" t="inlineStr">
        <is>
          <t>West</t>
        </is>
      </c>
      <c r="E102" t="inlineStr">
        <is>
          <t>Sofa</t>
        </is>
      </c>
      <c r="F102" t="inlineStr">
        <is>
          <t>Furniture</t>
        </is>
      </c>
      <c r="G102" t="n">
        <v>10</v>
      </c>
      <c r="H102" t="n">
        <v>400</v>
      </c>
      <c r="I102" t="n">
        <v>4000</v>
      </c>
      <c r="J102">
        <f>TEXT(B102,"YYYY-MM")</f>
        <v/>
      </c>
      <c r="K102">
        <f>YEAR(B102)</f>
        <v/>
      </c>
    </row>
    <row r="103">
      <c r="A103" t="inlineStr">
        <is>
          <t>ORD-1102</t>
        </is>
      </c>
      <c r="B103" s="1" t="n">
        <v>45456</v>
      </c>
      <c r="C103" t="inlineStr">
        <is>
          <t>CUST-345</t>
        </is>
      </c>
      <c r="D103" t="inlineStr">
        <is>
          <t>South</t>
        </is>
      </c>
      <c r="E103" t="inlineStr">
        <is>
          <t>Refrigerator</t>
        </is>
      </c>
      <c r="F103" t="inlineStr">
        <is>
          <t>Appliances</t>
        </is>
      </c>
      <c r="G103" t="n">
        <v>2</v>
      </c>
      <c r="H103" t="n">
        <v>600</v>
      </c>
      <c r="I103" t="n">
        <v>1200</v>
      </c>
      <c r="J103">
        <f>TEXT(B103,"YYYY-MM")</f>
        <v/>
      </c>
      <c r="K103">
        <f>YEAR(B103)</f>
        <v/>
      </c>
    </row>
    <row r="104">
      <c r="A104" t="inlineStr">
        <is>
          <t>ORD-1103</t>
        </is>
      </c>
      <c r="B104" s="1" t="n">
        <v>45859</v>
      </c>
      <c r="C104" t="inlineStr">
        <is>
          <t>CUST-284</t>
        </is>
      </c>
      <c r="D104" t="inlineStr">
        <is>
          <t>North</t>
        </is>
      </c>
      <c r="E104" t="inlineStr">
        <is>
          <t>Blender</t>
        </is>
      </c>
      <c r="F104" t="inlineStr">
        <is>
          <t>Appliances</t>
        </is>
      </c>
      <c r="G104" t="n">
        <v>6</v>
      </c>
      <c r="H104" t="n">
        <v>80</v>
      </c>
      <c r="I104" t="n">
        <v>480</v>
      </c>
      <c r="J104">
        <f>TEXT(B104,"YYYY-MM")</f>
        <v/>
      </c>
      <c r="K104">
        <f>YEAR(B104)</f>
        <v/>
      </c>
    </row>
    <row r="105">
      <c r="A105" t="inlineStr">
        <is>
          <t>ORD-1104</t>
        </is>
      </c>
      <c r="B105" s="1" t="n">
        <v>45416</v>
      </c>
      <c r="C105" t="inlineStr">
        <is>
          <t>CUST-368</t>
        </is>
      </c>
      <c r="D105" t="inlineStr">
        <is>
          <t>South</t>
        </is>
      </c>
      <c r="E105" t="inlineStr">
        <is>
          <t>Blender</t>
        </is>
      </c>
      <c r="F105" t="inlineStr">
        <is>
          <t>Appliances</t>
        </is>
      </c>
      <c r="G105" t="n">
        <v>5</v>
      </c>
      <c r="H105" t="n">
        <v>80</v>
      </c>
      <c r="I105" t="n">
        <v>400</v>
      </c>
      <c r="J105">
        <f>TEXT(B105,"YYYY-MM")</f>
        <v/>
      </c>
      <c r="K105">
        <f>YEAR(B105)</f>
        <v/>
      </c>
    </row>
    <row r="106">
      <c r="A106" t="inlineStr">
        <is>
          <t>ORD-1105</t>
        </is>
      </c>
      <c r="B106" s="1" t="n">
        <v>45595</v>
      </c>
      <c r="C106" t="inlineStr">
        <is>
          <t>CUST-353</t>
        </is>
      </c>
      <c r="D106" t="inlineStr">
        <is>
          <t>South</t>
        </is>
      </c>
      <c r="E106" t="inlineStr">
        <is>
          <t>Sofa</t>
        </is>
      </c>
      <c r="F106" t="inlineStr">
        <is>
          <t>Furniture</t>
        </is>
      </c>
      <c r="G106" t="n">
        <v>9</v>
      </c>
      <c r="H106" t="n">
        <v>400</v>
      </c>
      <c r="I106" t="n">
        <v>3600</v>
      </c>
      <c r="J106">
        <f>TEXT(B106,"YYYY-MM")</f>
        <v/>
      </c>
      <c r="K106">
        <f>YEAR(B106)</f>
        <v/>
      </c>
    </row>
    <row r="107">
      <c r="A107" t="inlineStr">
        <is>
          <t>ORD-1106</t>
        </is>
      </c>
      <c r="B107" s="1" t="n">
        <v>45774</v>
      </c>
      <c r="C107" t="inlineStr">
        <is>
          <t>CUST-154</t>
        </is>
      </c>
      <c r="D107" t="inlineStr">
        <is>
          <t>West</t>
        </is>
      </c>
      <c r="E107" t="inlineStr">
        <is>
          <t>Sofa</t>
        </is>
      </c>
      <c r="F107" t="inlineStr">
        <is>
          <t>Furniture</t>
        </is>
      </c>
      <c r="G107" t="n">
        <v>3</v>
      </c>
      <c r="H107" t="n">
        <v>400</v>
      </c>
      <c r="I107" t="n">
        <v>1200</v>
      </c>
      <c r="J107">
        <f>TEXT(B107,"YYYY-MM")</f>
        <v/>
      </c>
      <c r="K107">
        <f>YEAR(B107)</f>
        <v/>
      </c>
    </row>
    <row r="108">
      <c r="A108" t="inlineStr">
        <is>
          <t>ORD-1107</t>
        </is>
      </c>
      <c r="B108" s="1" t="n">
        <v>45482</v>
      </c>
      <c r="C108" t="inlineStr">
        <is>
          <t>CUST-440</t>
        </is>
      </c>
      <c r="D108" t="inlineStr">
        <is>
          <t>East</t>
        </is>
      </c>
      <c r="E108" t="inlineStr">
        <is>
          <t>Blender</t>
        </is>
      </c>
      <c r="F108" t="inlineStr">
        <is>
          <t>Appliances</t>
        </is>
      </c>
      <c r="G108" t="n">
        <v>10</v>
      </c>
      <c r="H108" t="n">
        <v>80</v>
      </c>
      <c r="I108" t="n">
        <v>800</v>
      </c>
      <c r="J108">
        <f>TEXT(B108,"YYYY-MM")</f>
        <v/>
      </c>
      <c r="K108">
        <f>YEAR(B108)</f>
        <v/>
      </c>
    </row>
    <row r="109">
      <c r="A109" t="inlineStr">
        <is>
          <t>ORD-1108</t>
        </is>
      </c>
      <c r="B109" s="1" t="n">
        <v>45602</v>
      </c>
      <c r="C109" t="inlineStr">
        <is>
          <t>CUST-180</t>
        </is>
      </c>
      <c r="D109" t="inlineStr">
        <is>
          <t>East</t>
        </is>
      </c>
      <c r="E109" t="inlineStr">
        <is>
          <t>Blender</t>
        </is>
      </c>
      <c r="F109" t="inlineStr">
        <is>
          <t>Appliances</t>
        </is>
      </c>
      <c r="G109" t="n">
        <v>9</v>
      </c>
      <c r="H109" t="n">
        <v>80</v>
      </c>
      <c r="I109" t="n">
        <v>720</v>
      </c>
      <c r="J109">
        <f>TEXT(B109,"YYYY-MM")</f>
        <v/>
      </c>
      <c r="K109">
        <f>YEAR(B109)</f>
        <v/>
      </c>
    </row>
    <row r="110">
      <c r="A110" t="inlineStr">
        <is>
          <t>ORD-1109</t>
        </is>
      </c>
      <c r="B110" s="1" t="n">
        <v>45850</v>
      </c>
      <c r="C110" t="inlineStr">
        <is>
          <t>CUST-259</t>
        </is>
      </c>
      <c r="D110" t="inlineStr">
        <is>
          <t>East</t>
        </is>
      </c>
      <c r="E110" t="inlineStr">
        <is>
          <t>Headphones</t>
        </is>
      </c>
      <c r="F110" t="inlineStr">
        <is>
          <t>Electronics</t>
        </is>
      </c>
      <c r="G110" t="n">
        <v>9</v>
      </c>
      <c r="H110" t="n">
        <v>50</v>
      </c>
      <c r="I110" t="n">
        <v>450</v>
      </c>
      <c r="J110">
        <f>TEXT(B110,"YYYY-MM")</f>
        <v/>
      </c>
      <c r="K110">
        <f>YEAR(B110)</f>
        <v/>
      </c>
    </row>
    <row r="111">
      <c r="A111" t="inlineStr">
        <is>
          <t>ORD-1110</t>
        </is>
      </c>
      <c r="B111" s="1" t="n">
        <v>45512</v>
      </c>
      <c r="C111" t="inlineStr">
        <is>
          <t>CUST-333</t>
        </is>
      </c>
      <c r="D111" t="inlineStr">
        <is>
          <t>East</t>
        </is>
      </c>
      <c r="E111" t="inlineStr">
        <is>
          <t>Headphones</t>
        </is>
      </c>
      <c r="F111" t="inlineStr">
        <is>
          <t>Electronics</t>
        </is>
      </c>
      <c r="G111" t="n">
        <v>7</v>
      </c>
      <c r="H111" t="n">
        <v>50</v>
      </c>
      <c r="I111" t="n">
        <v>350</v>
      </c>
      <c r="J111">
        <f>TEXT(B111,"YYYY-MM")</f>
        <v/>
      </c>
      <c r="K111">
        <f>YEAR(B111)</f>
        <v/>
      </c>
    </row>
    <row r="112">
      <c r="A112" t="inlineStr">
        <is>
          <t>ORD-1111</t>
        </is>
      </c>
      <c r="B112" s="1" t="n">
        <v>45770</v>
      </c>
      <c r="C112" t="inlineStr">
        <is>
          <t>CUST-196</t>
        </is>
      </c>
      <c r="D112" t="inlineStr">
        <is>
          <t>West</t>
        </is>
      </c>
      <c r="E112" t="inlineStr">
        <is>
          <t>Sofa</t>
        </is>
      </c>
      <c r="F112" t="inlineStr">
        <is>
          <t>Furniture</t>
        </is>
      </c>
      <c r="G112" t="n">
        <v>7</v>
      </c>
      <c r="H112" t="n">
        <v>400</v>
      </c>
      <c r="I112" t="n">
        <v>2800</v>
      </c>
      <c r="J112">
        <f>TEXT(B112,"YYYY-MM")</f>
        <v/>
      </c>
      <c r="K112">
        <f>YEAR(B112)</f>
        <v/>
      </c>
    </row>
    <row r="113">
      <c r="A113" t="inlineStr">
        <is>
          <t>ORD-1112</t>
        </is>
      </c>
      <c r="B113" s="1" t="n">
        <v>45837</v>
      </c>
      <c r="C113" t="inlineStr">
        <is>
          <t>CUST-121</t>
        </is>
      </c>
      <c r="D113" t="inlineStr">
        <is>
          <t>South</t>
        </is>
      </c>
      <c r="E113" t="inlineStr">
        <is>
          <t>Refrigerator</t>
        </is>
      </c>
      <c r="F113" t="inlineStr">
        <is>
          <t>Appliances</t>
        </is>
      </c>
      <c r="G113" t="n">
        <v>2</v>
      </c>
      <c r="H113" t="n">
        <v>600</v>
      </c>
      <c r="I113" t="n">
        <v>1200</v>
      </c>
      <c r="J113">
        <f>TEXT(B113,"YYYY-MM")</f>
        <v/>
      </c>
      <c r="K113">
        <f>YEAR(B113)</f>
        <v/>
      </c>
    </row>
    <row r="114">
      <c r="A114" t="inlineStr">
        <is>
          <t>ORD-1113</t>
        </is>
      </c>
      <c r="B114" s="1" t="n">
        <v>45392</v>
      </c>
      <c r="C114" t="inlineStr">
        <is>
          <t>CUST-329</t>
        </is>
      </c>
      <c r="D114" t="inlineStr">
        <is>
          <t>North</t>
        </is>
      </c>
      <c r="E114" t="inlineStr">
        <is>
          <t>Laptop</t>
        </is>
      </c>
      <c r="F114" t="inlineStr">
        <is>
          <t>Electronics</t>
        </is>
      </c>
      <c r="G114" t="n">
        <v>8</v>
      </c>
      <c r="H114" t="n">
        <v>800</v>
      </c>
      <c r="I114" t="n">
        <v>6400</v>
      </c>
      <c r="J114">
        <f>TEXT(B114,"YYYY-MM")</f>
        <v/>
      </c>
      <c r="K114">
        <f>YEAR(B114)</f>
        <v/>
      </c>
    </row>
    <row r="115">
      <c r="A115" t="inlineStr">
        <is>
          <t>ORD-1114</t>
        </is>
      </c>
      <c r="B115" s="1" t="n">
        <v>45796</v>
      </c>
      <c r="C115" t="inlineStr">
        <is>
          <t>CUST-186</t>
        </is>
      </c>
      <c r="D115" t="inlineStr">
        <is>
          <t>North</t>
        </is>
      </c>
      <c r="E115" t="inlineStr">
        <is>
          <t>Table</t>
        </is>
      </c>
      <c r="F115" t="inlineStr">
        <is>
          <t>Furniture</t>
        </is>
      </c>
      <c r="G115" t="n">
        <v>4</v>
      </c>
      <c r="H115" t="n">
        <v>150</v>
      </c>
      <c r="I115" t="n">
        <v>600</v>
      </c>
      <c r="J115">
        <f>TEXT(B115,"YYYY-MM")</f>
        <v/>
      </c>
      <c r="K115">
        <f>YEAR(B115)</f>
        <v/>
      </c>
    </row>
    <row r="116">
      <c r="A116" t="inlineStr">
        <is>
          <t>ORD-1115</t>
        </is>
      </c>
      <c r="B116" s="1" t="n">
        <v>45666</v>
      </c>
      <c r="C116" t="inlineStr">
        <is>
          <t>CUST-321</t>
        </is>
      </c>
      <c r="D116" t="inlineStr">
        <is>
          <t>South</t>
        </is>
      </c>
      <c r="E116" t="inlineStr">
        <is>
          <t>Blender</t>
        </is>
      </c>
      <c r="F116" t="inlineStr">
        <is>
          <t>Appliances</t>
        </is>
      </c>
      <c r="G116" t="n">
        <v>2</v>
      </c>
      <c r="H116" t="n">
        <v>80</v>
      </c>
      <c r="I116" t="n">
        <v>160</v>
      </c>
      <c r="J116">
        <f>TEXT(B116,"YYYY-MM")</f>
        <v/>
      </c>
      <c r="K116">
        <f>YEAR(B116)</f>
        <v/>
      </c>
    </row>
    <row r="117">
      <c r="A117" t="inlineStr">
        <is>
          <t>ORD-1116</t>
        </is>
      </c>
      <c r="B117" s="1" t="n">
        <v>45378</v>
      </c>
      <c r="C117" t="inlineStr">
        <is>
          <t>CUST-199</t>
        </is>
      </c>
      <c r="D117" t="inlineStr">
        <is>
          <t>North</t>
        </is>
      </c>
      <c r="E117" t="inlineStr">
        <is>
          <t>Refrigerator</t>
        </is>
      </c>
      <c r="F117" t="inlineStr">
        <is>
          <t>Appliances</t>
        </is>
      </c>
      <c r="G117" t="n">
        <v>2</v>
      </c>
      <c r="H117" t="n">
        <v>600</v>
      </c>
      <c r="I117" t="n">
        <v>1200</v>
      </c>
      <c r="J117">
        <f>TEXT(B117,"YYYY-MM")</f>
        <v/>
      </c>
      <c r="K117">
        <f>YEAR(B117)</f>
        <v/>
      </c>
    </row>
    <row r="118">
      <c r="A118" t="inlineStr">
        <is>
          <t>ORD-1117</t>
        </is>
      </c>
      <c r="B118" s="1" t="n">
        <v>45544</v>
      </c>
      <c r="C118" t="inlineStr">
        <is>
          <t>CUST-458</t>
        </is>
      </c>
      <c r="D118" t="inlineStr">
        <is>
          <t>West</t>
        </is>
      </c>
      <c r="E118" t="inlineStr">
        <is>
          <t>Sofa</t>
        </is>
      </c>
      <c r="F118" t="inlineStr">
        <is>
          <t>Furniture</t>
        </is>
      </c>
      <c r="G118" t="n">
        <v>10</v>
      </c>
      <c r="H118" t="n">
        <v>400</v>
      </c>
      <c r="I118" t="n">
        <v>4000</v>
      </c>
      <c r="J118">
        <f>TEXT(B118,"YYYY-MM")</f>
        <v/>
      </c>
      <c r="K118">
        <f>YEAR(B118)</f>
        <v/>
      </c>
    </row>
    <row r="119">
      <c r="A119" t="inlineStr">
        <is>
          <t>ORD-1118</t>
        </is>
      </c>
      <c r="B119" s="1" t="n">
        <v>45344</v>
      </c>
      <c r="C119" t="inlineStr">
        <is>
          <t>CUST-334</t>
        </is>
      </c>
      <c r="D119" t="inlineStr">
        <is>
          <t>North</t>
        </is>
      </c>
      <c r="E119" t="inlineStr">
        <is>
          <t>Blender</t>
        </is>
      </c>
      <c r="F119" t="inlineStr">
        <is>
          <t>Appliances</t>
        </is>
      </c>
      <c r="G119" t="n">
        <v>10</v>
      </c>
      <c r="H119" t="n">
        <v>80</v>
      </c>
      <c r="I119" t="n">
        <v>800</v>
      </c>
      <c r="J119">
        <f>TEXT(B119,"YYYY-MM")</f>
        <v/>
      </c>
      <c r="K119">
        <f>YEAR(B119)</f>
        <v/>
      </c>
    </row>
    <row r="120">
      <c r="A120" t="inlineStr">
        <is>
          <t>ORD-1119</t>
        </is>
      </c>
      <c r="B120" s="1" t="n">
        <v>45647</v>
      </c>
      <c r="C120" t="inlineStr">
        <is>
          <t>CUST-147</t>
        </is>
      </c>
      <c r="D120" t="inlineStr">
        <is>
          <t>West</t>
        </is>
      </c>
      <c r="E120" t="inlineStr">
        <is>
          <t>Laptop</t>
        </is>
      </c>
      <c r="F120" t="inlineStr">
        <is>
          <t>Electronics</t>
        </is>
      </c>
      <c r="G120" t="n">
        <v>7</v>
      </c>
      <c r="H120" t="n">
        <v>800</v>
      </c>
      <c r="I120" t="n">
        <v>5600</v>
      </c>
      <c r="J120">
        <f>TEXT(B120,"YYYY-MM")</f>
        <v/>
      </c>
      <c r="K120">
        <f>YEAR(B120)</f>
        <v/>
      </c>
    </row>
    <row r="121">
      <c r="A121" t="inlineStr">
        <is>
          <t>ORD-1120</t>
        </is>
      </c>
      <c r="B121" s="1" t="n">
        <v>45642</v>
      </c>
      <c r="C121" t="inlineStr">
        <is>
          <t>CUST-499</t>
        </is>
      </c>
      <c r="D121" t="inlineStr">
        <is>
          <t>East</t>
        </is>
      </c>
      <c r="E121" t="inlineStr">
        <is>
          <t>Laptop</t>
        </is>
      </c>
      <c r="F121" t="inlineStr">
        <is>
          <t>Electronics</t>
        </is>
      </c>
      <c r="G121" t="n">
        <v>3</v>
      </c>
      <c r="H121" t="n">
        <v>800</v>
      </c>
      <c r="I121" t="n">
        <v>2400</v>
      </c>
      <c r="J121">
        <f>TEXT(B121,"YYYY-MM")</f>
        <v/>
      </c>
      <c r="K121">
        <f>YEAR(B121)</f>
        <v/>
      </c>
    </row>
    <row r="122">
      <c r="A122" t="inlineStr">
        <is>
          <t>ORD-1121</t>
        </is>
      </c>
      <c r="B122" s="1" t="n">
        <v>45921</v>
      </c>
      <c r="C122" t="inlineStr">
        <is>
          <t>CUST-420</t>
        </is>
      </c>
      <c r="D122" t="inlineStr">
        <is>
          <t>West</t>
        </is>
      </c>
      <c r="E122" t="inlineStr">
        <is>
          <t>Laptop</t>
        </is>
      </c>
      <c r="F122" t="inlineStr">
        <is>
          <t>Electronics</t>
        </is>
      </c>
      <c r="G122" t="n">
        <v>6</v>
      </c>
      <c r="H122" t="n">
        <v>800</v>
      </c>
      <c r="I122" t="n">
        <v>4800</v>
      </c>
      <c r="J122">
        <f>TEXT(B122,"YYYY-MM")</f>
        <v/>
      </c>
      <c r="K122">
        <f>YEAR(B122)</f>
        <v/>
      </c>
    </row>
    <row r="123">
      <c r="A123" t="inlineStr">
        <is>
          <t>ORD-1122</t>
        </is>
      </c>
      <c r="B123" s="1" t="n">
        <v>45730</v>
      </c>
      <c r="C123" t="inlineStr">
        <is>
          <t>CUST-383</t>
        </is>
      </c>
      <c r="D123" t="inlineStr">
        <is>
          <t>North</t>
        </is>
      </c>
      <c r="E123" t="inlineStr">
        <is>
          <t>Headphones</t>
        </is>
      </c>
      <c r="F123" t="inlineStr">
        <is>
          <t>Electronics</t>
        </is>
      </c>
      <c r="G123" t="n">
        <v>3</v>
      </c>
      <c r="H123" t="n">
        <v>50</v>
      </c>
      <c r="I123" t="n">
        <v>150</v>
      </c>
      <c r="J123">
        <f>TEXT(B123,"YYYY-MM")</f>
        <v/>
      </c>
      <c r="K123">
        <f>YEAR(B123)</f>
        <v/>
      </c>
    </row>
    <row r="124">
      <c r="A124" t="inlineStr">
        <is>
          <t>ORD-1123</t>
        </is>
      </c>
      <c r="B124" s="1" t="n">
        <v>45445</v>
      </c>
      <c r="C124" t="inlineStr">
        <is>
          <t>CUST-286</t>
        </is>
      </c>
      <c r="D124" t="inlineStr">
        <is>
          <t>North</t>
        </is>
      </c>
      <c r="E124" t="inlineStr">
        <is>
          <t>Refrigerator</t>
        </is>
      </c>
      <c r="F124" t="inlineStr">
        <is>
          <t>Appliances</t>
        </is>
      </c>
      <c r="G124" t="n">
        <v>9</v>
      </c>
      <c r="H124" t="n">
        <v>600</v>
      </c>
      <c r="I124" t="n">
        <v>5400</v>
      </c>
      <c r="J124">
        <f>TEXT(B124,"YYYY-MM")</f>
        <v/>
      </c>
      <c r="K124">
        <f>YEAR(B124)</f>
        <v/>
      </c>
    </row>
    <row r="125">
      <c r="A125" t="inlineStr">
        <is>
          <t>ORD-1124</t>
        </is>
      </c>
      <c r="B125" s="1" t="n">
        <v>45897</v>
      </c>
      <c r="C125" t="inlineStr">
        <is>
          <t>CUST-487</t>
        </is>
      </c>
      <c r="D125" t="inlineStr">
        <is>
          <t>South</t>
        </is>
      </c>
      <c r="E125" t="inlineStr">
        <is>
          <t>Sofa</t>
        </is>
      </c>
      <c r="F125" t="inlineStr">
        <is>
          <t>Furniture</t>
        </is>
      </c>
      <c r="G125" t="n">
        <v>4</v>
      </c>
      <c r="H125" t="n">
        <v>400</v>
      </c>
      <c r="I125" t="n">
        <v>1600</v>
      </c>
      <c r="J125">
        <f>TEXT(B125,"YYYY-MM")</f>
        <v/>
      </c>
      <c r="K125">
        <f>YEAR(B125)</f>
        <v/>
      </c>
    </row>
    <row r="126">
      <c r="A126" t="inlineStr">
        <is>
          <t>ORD-1125</t>
        </is>
      </c>
      <c r="B126" s="1" t="n">
        <v>45370</v>
      </c>
      <c r="C126" t="inlineStr">
        <is>
          <t>CUST-327</t>
        </is>
      </c>
      <c r="D126" t="inlineStr">
        <is>
          <t>North</t>
        </is>
      </c>
      <c r="E126" t="inlineStr">
        <is>
          <t>Table</t>
        </is>
      </c>
      <c r="F126" t="inlineStr">
        <is>
          <t>Furniture</t>
        </is>
      </c>
      <c r="G126" t="n">
        <v>7</v>
      </c>
      <c r="H126" t="n">
        <v>150</v>
      </c>
      <c r="I126" t="n">
        <v>1050</v>
      </c>
      <c r="J126">
        <f>TEXT(B126,"YYYY-MM")</f>
        <v/>
      </c>
      <c r="K126">
        <f>YEAR(B126)</f>
        <v/>
      </c>
    </row>
    <row r="127">
      <c r="A127" t="inlineStr">
        <is>
          <t>ORD-1126</t>
        </is>
      </c>
      <c r="B127" s="1" t="n">
        <v>45908</v>
      </c>
      <c r="C127" t="inlineStr">
        <is>
          <t>CUST-381</t>
        </is>
      </c>
      <c r="D127" t="inlineStr">
        <is>
          <t>East</t>
        </is>
      </c>
      <c r="E127" t="inlineStr">
        <is>
          <t>Headphones</t>
        </is>
      </c>
      <c r="F127" t="inlineStr">
        <is>
          <t>Electronics</t>
        </is>
      </c>
      <c r="G127" t="n">
        <v>6</v>
      </c>
      <c r="H127" t="n">
        <v>50</v>
      </c>
      <c r="I127" t="n">
        <v>300</v>
      </c>
      <c r="J127">
        <f>TEXT(B127,"YYYY-MM")</f>
        <v/>
      </c>
      <c r="K127">
        <f>YEAR(B127)</f>
        <v/>
      </c>
    </row>
    <row r="128">
      <c r="A128" t="inlineStr">
        <is>
          <t>ORD-1127</t>
        </is>
      </c>
      <c r="B128" s="1" t="n">
        <v>45522</v>
      </c>
      <c r="C128" t="inlineStr">
        <is>
          <t>CUST-350</t>
        </is>
      </c>
      <c r="D128" t="inlineStr">
        <is>
          <t>West</t>
        </is>
      </c>
      <c r="E128" t="inlineStr">
        <is>
          <t>Laptop</t>
        </is>
      </c>
      <c r="F128" t="inlineStr">
        <is>
          <t>Electronics</t>
        </is>
      </c>
      <c r="G128" t="n">
        <v>6</v>
      </c>
      <c r="H128" t="n">
        <v>800</v>
      </c>
      <c r="I128" t="n">
        <v>4800</v>
      </c>
      <c r="J128">
        <f>TEXT(B128,"YYYY-MM")</f>
        <v/>
      </c>
      <c r="K128">
        <f>YEAR(B128)</f>
        <v/>
      </c>
    </row>
    <row r="129">
      <c r="A129" t="inlineStr">
        <is>
          <t>ORD-1128</t>
        </is>
      </c>
      <c r="B129" s="1" t="n">
        <v>45491</v>
      </c>
      <c r="C129" t="inlineStr">
        <is>
          <t>CUST-425</t>
        </is>
      </c>
      <c r="D129" t="inlineStr">
        <is>
          <t>South</t>
        </is>
      </c>
      <c r="E129" t="inlineStr">
        <is>
          <t>Laptop</t>
        </is>
      </c>
      <c r="F129" t="inlineStr">
        <is>
          <t>Electronics</t>
        </is>
      </c>
      <c r="G129" t="n">
        <v>5</v>
      </c>
      <c r="H129" t="n">
        <v>800</v>
      </c>
      <c r="I129" t="n">
        <v>4000</v>
      </c>
      <c r="J129">
        <f>TEXT(B129,"YYYY-MM")</f>
        <v/>
      </c>
      <c r="K129">
        <f>YEAR(B129)</f>
        <v/>
      </c>
    </row>
    <row r="130">
      <c r="A130" t="inlineStr">
        <is>
          <t>ORD-1129</t>
        </is>
      </c>
      <c r="B130" s="1" t="n">
        <v>45943</v>
      </c>
      <c r="C130" t="inlineStr">
        <is>
          <t>CUST-468</t>
        </is>
      </c>
      <c r="D130" t="inlineStr">
        <is>
          <t>North</t>
        </is>
      </c>
      <c r="E130" t="inlineStr">
        <is>
          <t>Blender</t>
        </is>
      </c>
      <c r="F130" t="inlineStr">
        <is>
          <t>Appliances</t>
        </is>
      </c>
      <c r="G130" t="n">
        <v>1</v>
      </c>
      <c r="H130" t="n">
        <v>80</v>
      </c>
      <c r="I130" t="n">
        <v>80</v>
      </c>
      <c r="J130">
        <f>TEXT(B130,"YYYY-MM")</f>
        <v/>
      </c>
      <c r="K130">
        <f>YEAR(B130)</f>
        <v/>
      </c>
    </row>
    <row r="131">
      <c r="A131" t="inlineStr">
        <is>
          <t>ORD-1130</t>
        </is>
      </c>
      <c r="B131" s="1" t="n">
        <v>45470</v>
      </c>
      <c r="C131" t="inlineStr">
        <is>
          <t>CUST-409</t>
        </is>
      </c>
      <c r="D131" t="inlineStr">
        <is>
          <t>West</t>
        </is>
      </c>
      <c r="E131" t="inlineStr">
        <is>
          <t>Headphones</t>
        </is>
      </c>
      <c r="F131" t="inlineStr">
        <is>
          <t>Electronics</t>
        </is>
      </c>
      <c r="G131" t="n">
        <v>9</v>
      </c>
      <c r="H131" t="n">
        <v>50</v>
      </c>
      <c r="I131" t="n">
        <v>450</v>
      </c>
      <c r="J131">
        <f>TEXT(B131,"YYYY-MM")</f>
        <v/>
      </c>
      <c r="K131">
        <f>YEAR(B131)</f>
        <v/>
      </c>
    </row>
    <row r="132">
      <c r="A132" t="inlineStr">
        <is>
          <t>ORD-1131</t>
        </is>
      </c>
      <c r="B132" s="1" t="n">
        <v>45862</v>
      </c>
      <c r="C132" t="inlineStr">
        <is>
          <t>CUST-314</t>
        </is>
      </c>
      <c r="D132" t="inlineStr">
        <is>
          <t>East</t>
        </is>
      </c>
      <c r="E132" t="inlineStr">
        <is>
          <t>Sofa</t>
        </is>
      </c>
      <c r="F132" t="inlineStr">
        <is>
          <t>Furniture</t>
        </is>
      </c>
      <c r="G132" t="n">
        <v>2</v>
      </c>
      <c r="H132" t="n">
        <v>400</v>
      </c>
      <c r="I132" t="n">
        <v>800</v>
      </c>
      <c r="J132">
        <f>TEXT(B132,"YYYY-MM")</f>
        <v/>
      </c>
      <c r="K132">
        <f>YEAR(B132)</f>
        <v/>
      </c>
    </row>
    <row r="133">
      <c r="A133" t="inlineStr">
        <is>
          <t>ORD-1132</t>
        </is>
      </c>
      <c r="B133" s="1" t="n">
        <v>45942</v>
      </c>
      <c r="C133" t="inlineStr">
        <is>
          <t>CUST-377</t>
        </is>
      </c>
      <c r="D133" t="inlineStr">
        <is>
          <t>East</t>
        </is>
      </c>
      <c r="E133" t="inlineStr">
        <is>
          <t>Headphones</t>
        </is>
      </c>
      <c r="F133" t="inlineStr">
        <is>
          <t>Electronics</t>
        </is>
      </c>
      <c r="G133" t="n">
        <v>7</v>
      </c>
      <c r="H133" t="n">
        <v>50</v>
      </c>
      <c r="I133" t="n">
        <v>350</v>
      </c>
      <c r="J133">
        <f>TEXT(B133,"YYYY-MM")</f>
        <v/>
      </c>
      <c r="K133">
        <f>YEAR(B133)</f>
        <v/>
      </c>
    </row>
    <row r="134">
      <c r="A134" t="inlineStr">
        <is>
          <t>ORD-1133</t>
        </is>
      </c>
      <c r="B134" s="1" t="n">
        <v>45561</v>
      </c>
      <c r="C134" t="inlineStr">
        <is>
          <t>CUST-385</t>
        </is>
      </c>
      <c r="D134" t="inlineStr">
        <is>
          <t>South</t>
        </is>
      </c>
      <c r="E134" t="inlineStr">
        <is>
          <t>Table</t>
        </is>
      </c>
      <c r="F134" t="inlineStr">
        <is>
          <t>Furniture</t>
        </is>
      </c>
      <c r="G134" t="n">
        <v>5</v>
      </c>
      <c r="H134" t="n">
        <v>150</v>
      </c>
      <c r="I134" t="n">
        <v>750</v>
      </c>
      <c r="J134">
        <f>TEXT(B134,"YYYY-MM")</f>
        <v/>
      </c>
      <c r="K134">
        <f>YEAR(B134)</f>
        <v/>
      </c>
    </row>
    <row r="135">
      <c r="A135" t="inlineStr">
        <is>
          <t>ORD-1134</t>
        </is>
      </c>
      <c r="B135" s="1" t="n">
        <v>45862</v>
      </c>
      <c r="C135" t="inlineStr">
        <is>
          <t>CUST-293</t>
        </is>
      </c>
      <c r="D135" t="inlineStr">
        <is>
          <t>West</t>
        </is>
      </c>
      <c r="E135" t="inlineStr">
        <is>
          <t>Laptop</t>
        </is>
      </c>
      <c r="F135" t="inlineStr">
        <is>
          <t>Electronics</t>
        </is>
      </c>
      <c r="G135" t="n">
        <v>7</v>
      </c>
      <c r="H135" t="n">
        <v>800</v>
      </c>
      <c r="I135" t="n">
        <v>5600</v>
      </c>
      <c r="J135">
        <f>TEXT(B135,"YYYY-MM")</f>
        <v/>
      </c>
      <c r="K135">
        <f>YEAR(B135)</f>
        <v/>
      </c>
    </row>
    <row r="136">
      <c r="A136" t="inlineStr">
        <is>
          <t>ORD-1135</t>
        </is>
      </c>
      <c r="B136" s="1" t="n">
        <v>45536</v>
      </c>
      <c r="C136" t="inlineStr">
        <is>
          <t>CUST-205</t>
        </is>
      </c>
      <c r="D136" t="inlineStr">
        <is>
          <t>East</t>
        </is>
      </c>
      <c r="E136" t="inlineStr">
        <is>
          <t>Blender</t>
        </is>
      </c>
      <c r="F136" t="inlineStr">
        <is>
          <t>Appliances</t>
        </is>
      </c>
      <c r="G136" t="n">
        <v>7</v>
      </c>
      <c r="H136" t="n">
        <v>80</v>
      </c>
      <c r="I136" t="n">
        <v>560</v>
      </c>
      <c r="J136">
        <f>TEXT(B136,"YYYY-MM")</f>
        <v/>
      </c>
      <c r="K136">
        <f>YEAR(B136)</f>
        <v/>
      </c>
    </row>
    <row r="137">
      <c r="A137" t="inlineStr">
        <is>
          <t>ORD-1136</t>
        </is>
      </c>
      <c r="B137" s="1" t="n">
        <v>45530</v>
      </c>
      <c r="C137" t="inlineStr">
        <is>
          <t>CUST-365</t>
        </is>
      </c>
      <c r="D137" t="inlineStr">
        <is>
          <t>West</t>
        </is>
      </c>
      <c r="E137" t="inlineStr">
        <is>
          <t>Refrigerator</t>
        </is>
      </c>
      <c r="F137" t="inlineStr">
        <is>
          <t>Appliances</t>
        </is>
      </c>
      <c r="G137" t="n">
        <v>3</v>
      </c>
      <c r="H137" t="n">
        <v>600</v>
      </c>
      <c r="I137" t="n">
        <v>1800</v>
      </c>
      <c r="J137">
        <f>TEXT(B137,"YYYY-MM")</f>
        <v/>
      </c>
      <c r="K137">
        <f>YEAR(B137)</f>
        <v/>
      </c>
    </row>
    <row r="138">
      <c r="A138" t="inlineStr">
        <is>
          <t>ORD-1137</t>
        </is>
      </c>
      <c r="B138" s="1" t="n">
        <v>45875</v>
      </c>
      <c r="C138" t="inlineStr">
        <is>
          <t>CUST-373</t>
        </is>
      </c>
      <c r="D138" t="inlineStr">
        <is>
          <t>East</t>
        </is>
      </c>
      <c r="E138" t="inlineStr">
        <is>
          <t>Sofa</t>
        </is>
      </c>
      <c r="F138" t="inlineStr">
        <is>
          <t>Furniture</t>
        </is>
      </c>
      <c r="G138" t="n">
        <v>4</v>
      </c>
      <c r="H138" t="n">
        <v>400</v>
      </c>
      <c r="I138" t="n">
        <v>1600</v>
      </c>
      <c r="J138">
        <f>TEXT(B138,"YYYY-MM")</f>
        <v/>
      </c>
      <c r="K138">
        <f>YEAR(B138)</f>
        <v/>
      </c>
    </row>
    <row r="139">
      <c r="A139" t="inlineStr">
        <is>
          <t>ORD-1138</t>
        </is>
      </c>
      <c r="B139" s="1" t="n">
        <v>45815</v>
      </c>
      <c r="C139" t="inlineStr">
        <is>
          <t>CUST-418</t>
        </is>
      </c>
      <c r="D139" t="inlineStr">
        <is>
          <t>South</t>
        </is>
      </c>
      <c r="E139" t="inlineStr">
        <is>
          <t>Sofa</t>
        </is>
      </c>
      <c r="F139" t="inlineStr">
        <is>
          <t>Furniture</t>
        </is>
      </c>
      <c r="G139" t="n">
        <v>7</v>
      </c>
      <c r="H139" t="n">
        <v>400</v>
      </c>
      <c r="I139" t="n">
        <v>2800</v>
      </c>
      <c r="J139">
        <f>TEXT(B139,"YYYY-MM")</f>
        <v/>
      </c>
      <c r="K139">
        <f>YEAR(B139)</f>
        <v/>
      </c>
    </row>
    <row r="140">
      <c r="A140" t="inlineStr">
        <is>
          <t>ORD-1139</t>
        </is>
      </c>
      <c r="B140" s="1" t="n">
        <v>45941</v>
      </c>
      <c r="C140" t="inlineStr">
        <is>
          <t>CUST-219</t>
        </is>
      </c>
      <c r="D140" t="inlineStr">
        <is>
          <t>South</t>
        </is>
      </c>
      <c r="E140" t="inlineStr">
        <is>
          <t>Refrigerator</t>
        </is>
      </c>
      <c r="F140" t="inlineStr">
        <is>
          <t>Appliances</t>
        </is>
      </c>
      <c r="G140" t="n">
        <v>9</v>
      </c>
      <c r="H140" t="n">
        <v>600</v>
      </c>
      <c r="I140" t="n">
        <v>5400</v>
      </c>
      <c r="J140">
        <f>TEXT(B140,"YYYY-MM")</f>
        <v/>
      </c>
      <c r="K140">
        <f>YEAR(B140)</f>
        <v/>
      </c>
    </row>
    <row r="141">
      <c r="A141" t="inlineStr">
        <is>
          <t>ORD-1140</t>
        </is>
      </c>
      <c r="B141" s="1" t="n">
        <v>45828</v>
      </c>
      <c r="C141" t="inlineStr">
        <is>
          <t>CUST-320</t>
        </is>
      </c>
      <c r="D141" t="inlineStr">
        <is>
          <t>South</t>
        </is>
      </c>
      <c r="E141" t="inlineStr">
        <is>
          <t>Headphones</t>
        </is>
      </c>
      <c r="F141" t="inlineStr">
        <is>
          <t>Electronics</t>
        </is>
      </c>
      <c r="G141" t="n">
        <v>1</v>
      </c>
      <c r="H141" t="n">
        <v>50</v>
      </c>
      <c r="I141" t="n">
        <v>50</v>
      </c>
      <c r="J141">
        <f>TEXT(B141,"YYYY-MM")</f>
        <v/>
      </c>
      <c r="K141">
        <f>YEAR(B141)</f>
        <v/>
      </c>
    </row>
    <row r="142">
      <c r="A142" t="inlineStr">
        <is>
          <t>ORD-1141</t>
        </is>
      </c>
      <c r="B142" s="1" t="n">
        <v>45863</v>
      </c>
      <c r="C142" t="inlineStr">
        <is>
          <t>CUST-317</t>
        </is>
      </c>
      <c r="D142" t="inlineStr">
        <is>
          <t>North</t>
        </is>
      </c>
      <c r="E142" t="inlineStr">
        <is>
          <t>Sofa</t>
        </is>
      </c>
      <c r="F142" t="inlineStr">
        <is>
          <t>Furniture</t>
        </is>
      </c>
      <c r="G142" t="n">
        <v>7</v>
      </c>
      <c r="H142" t="n">
        <v>400</v>
      </c>
      <c r="I142" t="n">
        <v>2800</v>
      </c>
      <c r="J142">
        <f>TEXT(B142,"YYYY-MM")</f>
        <v/>
      </c>
      <c r="K142">
        <f>YEAR(B142)</f>
        <v/>
      </c>
    </row>
    <row r="143">
      <c r="A143" t="inlineStr">
        <is>
          <t>ORD-1142</t>
        </is>
      </c>
      <c r="B143" s="1" t="n">
        <v>45809</v>
      </c>
      <c r="C143" t="inlineStr">
        <is>
          <t>CUST-426</t>
        </is>
      </c>
      <c r="D143" t="inlineStr">
        <is>
          <t>South</t>
        </is>
      </c>
      <c r="E143" t="inlineStr">
        <is>
          <t>Table</t>
        </is>
      </c>
      <c r="F143" t="inlineStr">
        <is>
          <t>Furniture</t>
        </is>
      </c>
      <c r="G143" t="n">
        <v>4</v>
      </c>
      <c r="H143" t="n">
        <v>150</v>
      </c>
      <c r="I143" t="n">
        <v>600</v>
      </c>
      <c r="J143">
        <f>TEXT(B143,"YYYY-MM")</f>
        <v/>
      </c>
      <c r="K143">
        <f>YEAR(B143)</f>
        <v/>
      </c>
    </row>
    <row r="144">
      <c r="A144" t="inlineStr">
        <is>
          <t>ORD-1143</t>
        </is>
      </c>
      <c r="B144" s="1" t="n">
        <v>45898</v>
      </c>
      <c r="C144" t="inlineStr">
        <is>
          <t>CUST-419</t>
        </is>
      </c>
      <c r="D144" t="inlineStr">
        <is>
          <t>East</t>
        </is>
      </c>
      <c r="E144" t="inlineStr">
        <is>
          <t>Blender</t>
        </is>
      </c>
      <c r="F144" t="inlineStr">
        <is>
          <t>Appliances</t>
        </is>
      </c>
      <c r="G144" t="n">
        <v>2</v>
      </c>
      <c r="H144" t="n">
        <v>80</v>
      </c>
      <c r="I144" t="n">
        <v>160</v>
      </c>
      <c r="J144">
        <f>TEXT(B144,"YYYY-MM")</f>
        <v/>
      </c>
      <c r="K144">
        <f>YEAR(B144)</f>
        <v/>
      </c>
    </row>
    <row r="145">
      <c r="A145" t="inlineStr">
        <is>
          <t>ORD-1144</t>
        </is>
      </c>
      <c r="B145" s="1" t="n">
        <v>45611</v>
      </c>
      <c r="C145" t="inlineStr">
        <is>
          <t>CUST-175</t>
        </is>
      </c>
      <c r="D145" t="inlineStr">
        <is>
          <t>East</t>
        </is>
      </c>
      <c r="E145" t="inlineStr">
        <is>
          <t>Refrigerator</t>
        </is>
      </c>
      <c r="F145" t="inlineStr">
        <is>
          <t>Appliances</t>
        </is>
      </c>
      <c r="G145" t="n">
        <v>2</v>
      </c>
      <c r="H145" t="n">
        <v>600</v>
      </c>
      <c r="I145" t="n">
        <v>1200</v>
      </c>
      <c r="J145">
        <f>TEXT(B145,"YYYY-MM")</f>
        <v/>
      </c>
      <c r="K145">
        <f>YEAR(B145)</f>
        <v/>
      </c>
    </row>
    <row r="146">
      <c r="A146" t="inlineStr">
        <is>
          <t>ORD-1145</t>
        </is>
      </c>
      <c r="B146" s="1" t="n">
        <v>45443</v>
      </c>
      <c r="C146" t="inlineStr">
        <is>
          <t>CUST-165</t>
        </is>
      </c>
      <c r="D146" t="inlineStr">
        <is>
          <t>West</t>
        </is>
      </c>
      <c r="E146" t="inlineStr">
        <is>
          <t>Laptop</t>
        </is>
      </c>
      <c r="F146" t="inlineStr">
        <is>
          <t>Electronics</t>
        </is>
      </c>
      <c r="G146" t="n">
        <v>7</v>
      </c>
      <c r="H146" t="n">
        <v>800</v>
      </c>
      <c r="I146" t="n">
        <v>5600</v>
      </c>
      <c r="J146">
        <f>TEXT(B146,"YYYY-MM")</f>
        <v/>
      </c>
      <c r="K146">
        <f>YEAR(B146)</f>
        <v/>
      </c>
    </row>
    <row r="147">
      <c r="A147" t="inlineStr">
        <is>
          <t>ORD-1146</t>
        </is>
      </c>
      <c r="B147" s="1" t="n">
        <v>45368</v>
      </c>
      <c r="C147" t="inlineStr">
        <is>
          <t>CUST-125</t>
        </is>
      </c>
      <c r="D147" t="inlineStr">
        <is>
          <t>North</t>
        </is>
      </c>
      <c r="E147" t="inlineStr">
        <is>
          <t>Laptop</t>
        </is>
      </c>
      <c r="F147" t="inlineStr">
        <is>
          <t>Electronics</t>
        </is>
      </c>
      <c r="G147" t="n">
        <v>8</v>
      </c>
      <c r="H147" t="n">
        <v>800</v>
      </c>
      <c r="I147" t="n">
        <v>6400</v>
      </c>
      <c r="J147">
        <f>TEXT(B147,"YYYY-MM")</f>
        <v/>
      </c>
      <c r="K147">
        <f>YEAR(B147)</f>
        <v/>
      </c>
    </row>
    <row r="148">
      <c r="A148" t="inlineStr">
        <is>
          <t>ORD-1147</t>
        </is>
      </c>
      <c r="B148" s="1" t="n">
        <v>45782</v>
      </c>
      <c r="C148" t="inlineStr">
        <is>
          <t>CUST-234</t>
        </is>
      </c>
      <c r="D148" t="inlineStr">
        <is>
          <t>North</t>
        </is>
      </c>
      <c r="E148" t="inlineStr">
        <is>
          <t>Table</t>
        </is>
      </c>
      <c r="F148" t="inlineStr">
        <is>
          <t>Furniture</t>
        </is>
      </c>
      <c r="G148" t="n">
        <v>10</v>
      </c>
      <c r="H148" t="n">
        <v>150</v>
      </c>
      <c r="I148" t="n">
        <v>1500</v>
      </c>
      <c r="J148">
        <f>TEXT(B148,"YYYY-MM")</f>
        <v/>
      </c>
      <c r="K148">
        <f>YEAR(B148)</f>
        <v/>
      </c>
    </row>
    <row r="149">
      <c r="A149" t="inlineStr">
        <is>
          <t>ORD-1148</t>
        </is>
      </c>
      <c r="B149" s="1" t="n">
        <v>45784</v>
      </c>
      <c r="C149" t="inlineStr">
        <is>
          <t>CUST-496</t>
        </is>
      </c>
      <c r="D149" t="inlineStr">
        <is>
          <t>South</t>
        </is>
      </c>
      <c r="E149" t="inlineStr">
        <is>
          <t>Headphones</t>
        </is>
      </c>
      <c r="F149" t="inlineStr">
        <is>
          <t>Electronics</t>
        </is>
      </c>
      <c r="G149" t="n">
        <v>6</v>
      </c>
      <c r="H149" t="n">
        <v>50</v>
      </c>
      <c r="I149" t="n">
        <v>300</v>
      </c>
      <c r="J149">
        <f>TEXT(B149,"YYYY-MM")</f>
        <v/>
      </c>
      <c r="K149">
        <f>YEAR(B149)</f>
        <v/>
      </c>
    </row>
    <row r="150">
      <c r="A150" t="inlineStr">
        <is>
          <t>ORD-1149</t>
        </is>
      </c>
      <c r="B150" s="1" t="n">
        <v>45844</v>
      </c>
      <c r="C150" t="inlineStr">
        <is>
          <t>CUST-261</t>
        </is>
      </c>
      <c r="D150" t="inlineStr">
        <is>
          <t>West</t>
        </is>
      </c>
      <c r="E150" t="inlineStr">
        <is>
          <t>Headphones</t>
        </is>
      </c>
      <c r="F150" t="inlineStr">
        <is>
          <t>Electronics</t>
        </is>
      </c>
      <c r="G150" t="n">
        <v>2</v>
      </c>
      <c r="H150" t="n">
        <v>50</v>
      </c>
      <c r="I150" t="n">
        <v>100</v>
      </c>
      <c r="J150">
        <f>TEXT(B150,"YYYY-MM")</f>
        <v/>
      </c>
      <c r="K150">
        <f>YEAR(B150)</f>
        <v/>
      </c>
    </row>
    <row r="151">
      <c r="A151" t="inlineStr">
        <is>
          <t>ORD-1150</t>
        </is>
      </c>
      <c r="B151" s="1" t="n">
        <v>45944</v>
      </c>
      <c r="C151" t="inlineStr">
        <is>
          <t>CUST-275</t>
        </is>
      </c>
      <c r="D151" t="inlineStr">
        <is>
          <t>West</t>
        </is>
      </c>
      <c r="E151" t="inlineStr">
        <is>
          <t>Sofa</t>
        </is>
      </c>
      <c r="F151" t="inlineStr">
        <is>
          <t>Furniture</t>
        </is>
      </c>
      <c r="G151" t="n">
        <v>2</v>
      </c>
      <c r="H151" t="n">
        <v>400</v>
      </c>
      <c r="I151" t="n">
        <v>800</v>
      </c>
      <c r="J151">
        <f>TEXT(B151,"YYYY-MM")</f>
        <v/>
      </c>
      <c r="K151">
        <f>YEAR(B151)</f>
        <v/>
      </c>
    </row>
    <row r="152">
      <c r="A152" t="inlineStr">
        <is>
          <t>ORD-1151</t>
        </is>
      </c>
      <c r="B152" s="1" t="n">
        <v>45771</v>
      </c>
      <c r="C152" t="inlineStr">
        <is>
          <t>CUST-247</t>
        </is>
      </c>
      <c r="D152" t="inlineStr">
        <is>
          <t>West</t>
        </is>
      </c>
      <c r="E152" t="inlineStr">
        <is>
          <t>Sofa</t>
        </is>
      </c>
      <c r="F152" t="inlineStr">
        <is>
          <t>Furniture</t>
        </is>
      </c>
      <c r="G152" t="n">
        <v>6</v>
      </c>
      <c r="H152" t="n">
        <v>400</v>
      </c>
      <c r="I152" t="n">
        <v>2400</v>
      </c>
      <c r="J152">
        <f>TEXT(B152,"YYYY-MM")</f>
        <v/>
      </c>
      <c r="K152">
        <f>YEAR(B152)</f>
        <v/>
      </c>
    </row>
    <row r="153">
      <c r="A153" t="inlineStr">
        <is>
          <t>ORD-1152</t>
        </is>
      </c>
      <c r="B153" s="1" t="n">
        <v>45921</v>
      </c>
      <c r="C153" t="inlineStr">
        <is>
          <t>CUST-203</t>
        </is>
      </c>
      <c r="D153" t="inlineStr">
        <is>
          <t>North</t>
        </is>
      </c>
      <c r="E153" t="inlineStr">
        <is>
          <t>Blender</t>
        </is>
      </c>
      <c r="F153" t="inlineStr">
        <is>
          <t>Appliances</t>
        </is>
      </c>
      <c r="G153" t="n">
        <v>3</v>
      </c>
      <c r="H153" t="n">
        <v>80</v>
      </c>
      <c r="I153" t="n">
        <v>240</v>
      </c>
      <c r="J153">
        <f>TEXT(B153,"YYYY-MM")</f>
        <v/>
      </c>
      <c r="K153">
        <f>YEAR(B153)</f>
        <v/>
      </c>
    </row>
    <row r="154">
      <c r="A154" t="inlineStr">
        <is>
          <t>ORD-1153</t>
        </is>
      </c>
      <c r="B154" s="1" t="n">
        <v>45392</v>
      </c>
      <c r="C154" t="inlineStr">
        <is>
          <t>CUST-500</t>
        </is>
      </c>
      <c r="D154" t="inlineStr">
        <is>
          <t>North</t>
        </is>
      </c>
      <c r="E154" t="inlineStr">
        <is>
          <t>Headphones</t>
        </is>
      </c>
      <c r="F154" t="inlineStr">
        <is>
          <t>Electronics</t>
        </is>
      </c>
      <c r="G154" t="n">
        <v>1</v>
      </c>
      <c r="H154" t="n">
        <v>50</v>
      </c>
      <c r="I154" t="n">
        <v>50</v>
      </c>
      <c r="J154">
        <f>TEXT(B154,"YYYY-MM")</f>
        <v/>
      </c>
      <c r="K154">
        <f>YEAR(B154)</f>
        <v/>
      </c>
    </row>
    <row r="155">
      <c r="A155" t="inlineStr">
        <is>
          <t>ORD-1154</t>
        </is>
      </c>
      <c r="B155" s="1" t="n">
        <v>45728</v>
      </c>
      <c r="C155" t="inlineStr">
        <is>
          <t>CUST-239</t>
        </is>
      </c>
      <c r="D155" t="inlineStr">
        <is>
          <t>West</t>
        </is>
      </c>
      <c r="E155" t="inlineStr">
        <is>
          <t>Refrigerator</t>
        </is>
      </c>
      <c r="F155" t="inlineStr">
        <is>
          <t>Appliances</t>
        </is>
      </c>
      <c r="G155" t="n">
        <v>8</v>
      </c>
      <c r="H155" t="n">
        <v>600</v>
      </c>
      <c r="I155" t="n">
        <v>4800</v>
      </c>
      <c r="J155">
        <f>TEXT(B155,"YYYY-MM")</f>
        <v/>
      </c>
      <c r="K155">
        <f>YEAR(B155)</f>
        <v/>
      </c>
    </row>
    <row r="156">
      <c r="A156" t="inlineStr">
        <is>
          <t>ORD-1155</t>
        </is>
      </c>
      <c r="B156" s="1" t="n">
        <v>45579</v>
      </c>
      <c r="C156" t="inlineStr">
        <is>
          <t>CUST-296</t>
        </is>
      </c>
      <c r="D156" t="inlineStr">
        <is>
          <t>North</t>
        </is>
      </c>
      <c r="E156" t="inlineStr">
        <is>
          <t>Refrigerator</t>
        </is>
      </c>
      <c r="F156" t="inlineStr">
        <is>
          <t>Appliances</t>
        </is>
      </c>
      <c r="G156" t="n">
        <v>7</v>
      </c>
      <c r="H156" t="n">
        <v>600</v>
      </c>
      <c r="I156" t="n">
        <v>4200</v>
      </c>
      <c r="J156">
        <f>TEXT(B156,"YYYY-MM")</f>
        <v/>
      </c>
      <c r="K156">
        <f>YEAR(B156)</f>
        <v/>
      </c>
    </row>
    <row r="157">
      <c r="A157" t="inlineStr">
        <is>
          <t>ORD-1156</t>
        </is>
      </c>
      <c r="B157" s="1" t="n">
        <v>45316</v>
      </c>
      <c r="C157" t="inlineStr">
        <is>
          <t>CUST-460</t>
        </is>
      </c>
      <c r="D157" t="inlineStr">
        <is>
          <t>South</t>
        </is>
      </c>
      <c r="E157" t="inlineStr">
        <is>
          <t>Laptop</t>
        </is>
      </c>
      <c r="F157" t="inlineStr">
        <is>
          <t>Electronics</t>
        </is>
      </c>
      <c r="G157" t="n">
        <v>10</v>
      </c>
      <c r="H157" t="n">
        <v>800</v>
      </c>
      <c r="I157" t="n">
        <v>8000</v>
      </c>
      <c r="J157">
        <f>TEXT(B157,"YYYY-MM")</f>
        <v/>
      </c>
      <c r="K157">
        <f>YEAR(B157)</f>
        <v/>
      </c>
    </row>
    <row r="158">
      <c r="A158" t="inlineStr">
        <is>
          <t>ORD-1157</t>
        </is>
      </c>
      <c r="B158" s="1" t="n">
        <v>45755</v>
      </c>
      <c r="C158" t="inlineStr">
        <is>
          <t>CUST-469</t>
        </is>
      </c>
      <c r="D158" t="inlineStr">
        <is>
          <t>West</t>
        </is>
      </c>
      <c r="E158" t="inlineStr">
        <is>
          <t>Headphones</t>
        </is>
      </c>
      <c r="F158" t="inlineStr">
        <is>
          <t>Electronics</t>
        </is>
      </c>
      <c r="G158" t="n">
        <v>4</v>
      </c>
      <c r="H158" t="n">
        <v>50</v>
      </c>
      <c r="I158" t="n">
        <v>200</v>
      </c>
      <c r="J158">
        <f>TEXT(B158,"YYYY-MM")</f>
        <v/>
      </c>
      <c r="K158">
        <f>YEAR(B158)</f>
        <v/>
      </c>
    </row>
    <row r="159">
      <c r="A159" t="inlineStr">
        <is>
          <t>ORD-1158</t>
        </is>
      </c>
      <c r="B159" s="1" t="n">
        <v>45762</v>
      </c>
      <c r="C159" t="inlineStr">
        <is>
          <t>CUST-336</t>
        </is>
      </c>
      <c r="D159" t="inlineStr">
        <is>
          <t>West</t>
        </is>
      </c>
      <c r="E159" t="inlineStr">
        <is>
          <t>Blender</t>
        </is>
      </c>
      <c r="F159" t="inlineStr">
        <is>
          <t>Appliances</t>
        </is>
      </c>
      <c r="G159" t="n">
        <v>5</v>
      </c>
      <c r="H159" t="n">
        <v>80</v>
      </c>
      <c r="I159" t="n">
        <v>400</v>
      </c>
      <c r="J159">
        <f>TEXT(B159,"YYYY-MM")</f>
        <v/>
      </c>
      <c r="K159">
        <f>YEAR(B159)</f>
        <v/>
      </c>
    </row>
    <row r="160">
      <c r="A160" t="inlineStr">
        <is>
          <t>ORD-1159</t>
        </is>
      </c>
      <c r="B160" s="1" t="n">
        <v>45698</v>
      </c>
      <c r="C160" t="inlineStr">
        <is>
          <t>CUST-381</t>
        </is>
      </c>
      <c r="D160" t="inlineStr">
        <is>
          <t>West</t>
        </is>
      </c>
      <c r="E160" t="inlineStr">
        <is>
          <t>Sofa</t>
        </is>
      </c>
      <c r="F160" t="inlineStr">
        <is>
          <t>Furniture</t>
        </is>
      </c>
      <c r="G160" t="n">
        <v>9</v>
      </c>
      <c r="H160" t="n">
        <v>400</v>
      </c>
      <c r="I160" t="n">
        <v>3600</v>
      </c>
      <c r="J160">
        <f>TEXT(B160,"YYYY-MM")</f>
        <v/>
      </c>
      <c r="K160">
        <f>YEAR(B160)</f>
        <v/>
      </c>
    </row>
    <row r="161">
      <c r="A161" t="inlineStr">
        <is>
          <t>ORD-1160</t>
        </is>
      </c>
      <c r="B161" s="1" t="n">
        <v>45513</v>
      </c>
      <c r="C161" t="inlineStr">
        <is>
          <t>CUST-213</t>
        </is>
      </c>
      <c r="D161" t="inlineStr">
        <is>
          <t>North</t>
        </is>
      </c>
      <c r="E161" t="inlineStr">
        <is>
          <t>Laptop</t>
        </is>
      </c>
      <c r="F161" t="inlineStr">
        <is>
          <t>Electronics</t>
        </is>
      </c>
      <c r="G161" t="n">
        <v>5</v>
      </c>
      <c r="H161" t="n">
        <v>800</v>
      </c>
      <c r="I161" t="n">
        <v>4000</v>
      </c>
      <c r="J161">
        <f>TEXT(B161,"YYYY-MM")</f>
        <v/>
      </c>
      <c r="K161">
        <f>YEAR(B161)</f>
        <v/>
      </c>
    </row>
    <row r="162">
      <c r="A162" t="inlineStr">
        <is>
          <t>ORD-1161</t>
        </is>
      </c>
      <c r="B162" s="1" t="n">
        <v>45550</v>
      </c>
      <c r="C162" t="inlineStr">
        <is>
          <t>CUST-398</t>
        </is>
      </c>
      <c r="D162" t="inlineStr">
        <is>
          <t>West</t>
        </is>
      </c>
      <c r="E162" t="inlineStr">
        <is>
          <t>Blender</t>
        </is>
      </c>
      <c r="F162" t="inlineStr">
        <is>
          <t>Appliances</t>
        </is>
      </c>
      <c r="G162" t="n">
        <v>6</v>
      </c>
      <c r="H162" t="n">
        <v>80</v>
      </c>
      <c r="I162" t="n">
        <v>480</v>
      </c>
      <c r="J162">
        <f>TEXT(B162,"YYYY-MM")</f>
        <v/>
      </c>
      <c r="K162">
        <f>YEAR(B162)</f>
        <v/>
      </c>
    </row>
    <row r="163">
      <c r="A163" t="inlineStr">
        <is>
          <t>ORD-1162</t>
        </is>
      </c>
      <c r="B163" s="1" t="n">
        <v>45561</v>
      </c>
      <c r="C163" t="inlineStr">
        <is>
          <t>CUST-439</t>
        </is>
      </c>
      <c r="D163" t="inlineStr">
        <is>
          <t>North</t>
        </is>
      </c>
      <c r="E163" t="inlineStr">
        <is>
          <t>Headphones</t>
        </is>
      </c>
      <c r="F163" t="inlineStr">
        <is>
          <t>Electronics</t>
        </is>
      </c>
      <c r="G163" t="n">
        <v>4</v>
      </c>
      <c r="H163" t="n">
        <v>50</v>
      </c>
      <c r="I163" t="n">
        <v>200</v>
      </c>
      <c r="J163">
        <f>TEXT(B163,"YYYY-MM")</f>
        <v/>
      </c>
      <c r="K163">
        <f>YEAR(B163)</f>
        <v/>
      </c>
    </row>
    <row r="164">
      <c r="A164" t="inlineStr">
        <is>
          <t>ORD-1163</t>
        </is>
      </c>
      <c r="B164" s="1" t="n">
        <v>45697</v>
      </c>
      <c r="C164" t="inlineStr">
        <is>
          <t>CUST-454</t>
        </is>
      </c>
      <c r="D164" t="inlineStr">
        <is>
          <t>East</t>
        </is>
      </c>
      <c r="E164" t="inlineStr">
        <is>
          <t>Blender</t>
        </is>
      </c>
      <c r="F164" t="inlineStr">
        <is>
          <t>Appliances</t>
        </is>
      </c>
      <c r="G164" t="n">
        <v>6</v>
      </c>
      <c r="H164" t="n">
        <v>80</v>
      </c>
      <c r="I164" t="n">
        <v>480</v>
      </c>
      <c r="J164">
        <f>TEXT(B164,"YYYY-MM")</f>
        <v/>
      </c>
      <c r="K164">
        <f>YEAR(B164)</f>
        <v/>
      </c>
    </row>
    <row r="165">
      <c r="A165" t="inlineStr">
        <is>
          <t>ORD-1164</t>
        </is>
      </c>
      <c r="B165" s="1" t="n">
        <v>45546</v>
      </c>
      <c r="C165" t="inlineStr">
        <is>
          <t>CUST-105</t>
        </is>
      </c>
      <c r="D165" t="inlineStr">
        <is>
          <t>North</t>
        </is>
      </c>
      <c r="E165" t="inlineStr">
        <is>
          <t>Laptop</t>
        </is>
      </c>
      <c r="F165" t="inlineStr">
        <is>
          <t>Electronics</t>
        </is>
      </c>
      <c r="G165" t="n">
        <v>1</v>
      </c>
      <c r="H165" t="n">
        <v>800</v>
      </c>
      <c r="I165" t="n">
        <v>800</v>
      </c>
      <c r="J165">
        <f>TEXT(B165,"YYYY-MM")</f>
        <v/>
      </c>
      <c r="K165">
        <f>YEAR(B165)</f>
        <v/>
      </c>
    </row>
    <row r="166">
      <c r="A166" t="inlineStr">
        <is>
          <t>ORD-1165</t>
        </is>
      </c>
      <c r="B166" s="1" t="n">
        <v>45392</v>
      </c>
      <c r="C166" t="inlineStr">
        <is>
          <t>CUST-411</t>
        </is>
      </c>
      <c r="D166" t="inlineStr">
        <is>
          <t>East</t>
        </is>
      </c>
      <c r="E166" t="inlineStr">
        <is>
          <t>Laptop</t>
        </is>
      </c>
      <c r="F166" t="inlineStr">
        <is>
          <t>Electronics</t>
        </is>
      </c>
      <c r="G166" t="n">
        <v>2</v>
      </c>
      <c r="H166" t="n">
        <v>800</v>
      </c>
      <c r="I166" t="n">
        <v>1600</v>
      </c>
      <c r="J166">
        <f>TEXT(B166,"YYYY-MM")</f>
        <v/>
      </c>
      <c r="K166">
        <f>YEAR(B166)</f>
        <v/>
      </c>
    </row>
    <row r="167">
      <c r="A167" t="inlineStr">
        <is>
          <t>ORD-1166</t>
        </is>
      </c>
      <c r="B167" s="1" t="n">
        <v>45917</v>
      </c>
      <c r="C167" t="inlineStr">
        <is>
          <t>CUST-259</t>
        </is>
      </c>
      <c r="D167" t="inlineStr">
        <is>
          <t>West</t>
        </is>
      </c>
      <c r="E167" t="inlineStr">
        <is>
          <t>Laptop</t>
        </is>
      </c>
      <c r="F167" t="inlineStr">
        <is>
          <t>Electronics</t>
        </is>
      </c>
      <c r="G167" t="n">
        <v>9</v>
      </c>
      <c r="H167" t="n">
        <v>800</v>
      </c>
      <c r="I167" t="n">
        <v>7200</v>
      </c>
      <c r="J167">
        <f>TEXT(B167,"YYYY-MM")</f>
        <v/>
      </c>
      <c r="K167">
        <f>YEAR(B167)</f>
        <v/>
      </c>
    </row>
    <row r="168">
      <c r="A168" t="inlineStr">
        <is>
          <t>ORD-1167</t>
        </is>
      </c>
      <c r="B168" s="1" t="n">
        <v>45366</v>
      </c>
      <c r="C168" t="inlineStr">
        <is>
          <t>CUST-337</t>
        </is>
      </c>
      <c r="D168" t="inlineStr">
        <is>
          <t>West</t>
        </is>
      </c>
      <c r="E168" t="inlineStr">
        <is>
          <t>Sofa</t>
        </is>
      </c>
      <c r="F168" t="inlineStr">
        <is>
          <t>Furniture</t>
        </is>
      </c>
      <c r="G168" t="n">
        <v>9</v>
      </c>
      <c r="H168" t="n">
        <v>400</v>
      </c>
      <c r="I168" t="n">
        <v>3600</v>
      </c>
      <c r="J168">
        <f>TEXT(B168,"YYYY-MM")</f>
        <v/>
      </c>
      <c r="K168">
        <f>YEAR(B168)</f>
        <v/>
      </c>
    </row>
    <row r="169">
      <c r="A169" t="inlineStr">
        <is>
          <t>ORD-1168</t>
        </is>
      </c>
      <c r="B169" s="1" t="n">
        <v>45329</v>
      </c>
      <c r="C169" t="inlineStr">
        <is>
          <t>CUST-151</t>
        </is>
      </c>
      <c r="D169" t="inlineStr">
        <is>
          <t>East</t>
        </is>
      </c>
      <c r="E169" t="inlineStr">
        <is>
          <t>Laptop</t>
        </is>
      </c>
      <c r="F169" t="inlineStr">
        <is>
          <t>Electronics</t>
        </is>
      </c>
      <c r="G169" t="n">
        <v>10</v>
      </c>
      <c r="H169" t="n">
        <v>800</v>
      </c>
      <c r="I169" t="n">
        <v>8000</v>
      </c>
      <c r="J169">
        <f>TEXT(B169,"YYYY-MM")</f>
        <v/>
      </c>
      <c r="K169">
        <f>YEAR(B169)</f>
        <v/>
      </c>
    </row>
    <row r="170">
      <c r="A170" t="inlineStr">
        <is>
          <t>ORD-1169</t>
        </is>
      </c>
      <c r="B170" s="1" t="n">
        <v>45971</v>
      </c>
      <c r="C170" t="inlineStr">
        <is>
          <t>CUST-495</t>
        </is>
      </c>
      <c r="D170" t="inlineStr">
        <is>
          <t>West</t>
        </is>
      </c>
      <c r="E170" t="inlineStr">
        <is>
          <t>Blender</t>
        </is>
      </c>
      <c r="F170" t="inlineStr">
        <is>
          <t>Appliances</t>
        </is>
      </c>
      <c r="G170" t="n">
        <v>9</v>
      </c>
      <c r="H170" t="n">
        <v>80</v>
      </c>
      <c r="I170" t="n">
        <v>720</v>
      </c>
      <c r="J170">
        <f>TEXT(B170,"YYYY-MM")</f>
        <v/>
      </c>
      <c r="K170">
        <f>YEAR(B170)</f>
        <v/>
      </c>
    </row>
    <row r="171">
      <c r="A171" t="inlineStr">
        <is>
          <t>ORD-1170</t>
        </is>
      </c>
      <c r="B171" s="1" t="n">
        <v>45679</v>
      </c>
      <c r="C171" t="inlineStr">
        <is>
          <t>CUST-275</t>
        </is>
      </c>
      <c r="D171" t="inlineStr">
        <is>
          <t>North</t>
        </is>
      </c>
      <c r="E171" t="inlineStr">
        <is>
          <t>Sofa</t>
        </is>
      </c>
      <c r="F171" t="inlineStr">
        <is>
          <t>Furniture</t>
        </is>
      </c>
      <c r="G171" t="n">
        <v>7</v>
      </c>
      <c r="H171" t="n">
        <v>400</v>
      </c>
      <c r="I171" t="n">
        <v>2800</v>
      </c>
      <c r="J171">
        <f>TEXT(B171,"YYYY-MM")</f>
        <v/>
      </c>
      <c r="K171">
        <f>YEAR(B171)</f>
        <v/>
      </c>
    </row>
    <row r="172">
      <c r="A172" t="inlineStr">
        <is>
          <t>ORD-1171</t>
        </is>
      </c>
      <c r="B172" s="1" t="n">
        <v>45850</v>
      </c>
      <c r="C172" t="inlineStr">
        <is>
          <t>CUST-314</t>
        </is>
      </c>
      <c r="D172" t="inlineStr">
        <is>
          <t>South</t>
        </is>
      </c>
      <c r="E172" t="inlineStr">
        <is>
          <t>Sofa</t>
        </is>
      </c>
      <c r="F172" t="inlineStr">
        <is>
          <t>Furniture</t>
        </is>
      </c>
      <c r="G172" t="n">
        <v>2</v>
      </c>
      <c r="H172" t="n">
        <v>400</v>
      </c>
      <c r="I172" t="n">
        <v>800</v>
      </c>
      <c r="J172">
        <f>TEXT(B172,"YYYY-MM")</f>
        <v/>
      </c>
      <c r="K172">
        <f>YEAR(B172)</f>
        <v/>
      </c>
    </row>
    <row r="173">
      <c r="A173" t="inlineStr">
        <is>
          <t>ORD-1172</t>
        </is>
      </c>
      <c r="B173" s="1" t="n">
        <v>45608</v>
      </c>
      <c r="C173" t="inlineStr">
        <is>
          <t>CUST-191</t>
        </is>
      </c>
      <c r="D173" t="inlineStr">
        <is>
          <t>North</t>
        </is>
      </c>
      <c r="E173" t="inlineStr">
        <is>
          <t>Laptop</t>
        </is>
      </c>
      <c r="F173" t="inlineStr">
        <is>
          <t>Electronics</t>
        </is>
      </c>
      <c r="G173" t="n">
        <v>4</v>
      </c>
      <c r="H173" t="n">
        <v>800</v>
      </c>
      <c r="I173" t="n">
        <v>3200</v>
      </c>
      <c r="J173">
        <f>TEXT(B173,"YYYY-MM")</f>
        <v/>
      </c>
      <c r="K173">
        <f>YEAR(B173)</f>
        <v/>
      </c>
    </row>
    <row r="174">
      <c r="A174" t="inlineStr">
        <is>
          <t>ORD-1173</t>
        </is>
      </c>
      <c r="B174" s="1" t="n">
        <v>45544</v>
      </c>
      <c r="C174" t="inlineStr">
        <is>
          <t>CUST-161</t>
        </is>
      </c>
      <c r="D174" t="inlineStr">
        <is>
          <t>East</t>
        </is>
      </c>
      <c r="E174" t="inlineStr">
        <is>
          <t>Table</t>
        </is>
      </c>
      <c r="F174" t="inlineStr">
        <is>
          <t>Furniture</t>
        </is>
      </c>
      <c r="G174" t="n">
        <v>5</v>
      </c>
      <c r="H174" t="n">
        <v>150</v>
      </c>
      <c r="I174" t="n">
        <v>750</v>
      </c>
      <c r="J174">
        <f>TEXT(B174,"YYYY-MM")</f>
        <v/>
      </c>
      <c r="K174">
        <f>YEAR(B174)</f>
        <v/>
      </c>
    </row>
    <row r="175">
      <c r="A175" t="inlineStr">
        <is>
          <t>ORD-1174</t>
        </is>
      </c>
      <c r="B175" s="1" t="n">
        <v>45623</v>
      </c>
      <c r="C175" t="inlineStr">
        <is>
          <t>CUST-459</t>
        </is>
      </c>
      <c r="D175" t="inlineStr">
        <is>
          <t>East</t>
        </is>
      </c>
      <c r="E175" t="inlineStr">
        <is>
          <t>Sofa</t>
        </is>
      </c>
      <c r="F175" t="inlineStr">
        <is>
          <t>Furniture</t>
        </is>
      </c>
      <c r="G175" t="n">
        <v>4</v>
      </c>
      <c r="H175" t="n">
        <v>400</v>
      </c>
      <c r="I175" t="n">
        <v>1600</v>
      </c>
      <c r="J175">
        <f>TEXT(B175,"YYYY-MM")</f>
        <v/>
      </c>
      <c r="K175">
        <f>YEAR(B175)</f>
        <v/>
      </c>
    </row>
    <row r="176">
      <c r="A176" t="inlineStr">
        <is>
          <t>ORD-1175</t>
        </is>
      </c>
      <c r="B176" s="1" t="n">
        <v>45515</v>
      </c>
      <c r="C176" t="inlineStr">
        <is>
          <t>CUST-226</t>
        </is>
      </c>
      <c r="D176" t="inlineStr">
        <is>
          <t>South</t>
        </is>
      </c>
      <c r="E176" t="inlineStr">
        <is>
          <t>Laptop</t>
        </is>
      </c>
      <c r="F176" t="inlineStr">
        <is>
          <t>Electronics</t>
        </is>
      </c>
      <c r="G176" t="n">
        <v>2</v>
      </c>
      <c r="H176" t="n">
        <v>800</v>
      </c>
      <c r="I176" t="n">
        <v>1600</v>
      </c>
      <c r="J176">
        <f>TEXT(B176,"YYYY-MM")</f>
        <v/>
      </c>
      <c r="K176">
        <f>YEAR(B176)</f>
        <v/>
      </c>
    </row>
    <row r="177">
      <c r="A177" t="inlineStr">
        <is>
          <t>ORD-1176</t>
        </is>
      </c>
      <c r="B177" s="1" t="n">
        <v>45752</v>
      </c>
      <c r="C177" t="inlineStr">
        <is>
          <t>CUST-350</t>
        </is>
      </c>
      <c r="D177" t="inlineStr">
        <is>
          <t>West</t>
        </is>
      </c>
      <c r="E177" t="inlineStr">
        <is>
          <t>Sofa</t>
        </is>
      </c>
      <c r="F177" t="inlineStr">
        <is>
          <t>Furniture</t>
        </is>
      </c>
      <c r="G177" t="n">
        <v>10</v>
      </c>
      <c r="H177" t="n">
        <v>400</v>
      </c>
      <c r="I177" t="n">
        <v>4000</v>
      </c>
      <c r="J177">
        <f>TEXT(B177,"YYYY-MM")</f>
        <v/>
      </c>
      <c r="K177">
        <f>YEAR(B177)</f>
        <v/>
      </c>
    </row>
    <row r="178">
      <c r="A178" t="inlineStr">
        <is>
          <t>ORD-1177</t>
        </is>
      </c>
      <c r="B178" s="1" t="n">
        <v>45580</v>
      </c>
      <c r="C178" t="inlineStr">
        <is>
          <t>CUST-244</t>
        </is>
      </c>
      <c r="D178" t="inlineStr">
        <is>
          <t>East</t>
        </is>
      </c>
      <c r="E178" t="inlineStr">
        <is>
          <t>Headphones</t>
        </is>
      </c>
      <c r="F178" t="inlineStr">
        <is>
          <t>Electronics</t>
        </is>
      </c>
      <c r="G178" t="n">
        <v>9</v>
      </c>
      <c r="H178" t="n">
        <v>50</v>
      </c>
      <c r="I178" t="n">
        <v>450</v>
      </c>
      <c r="J178">
        <f>TEXT(B178,"YYYY-MM")</f>
        <v/>
      </c>
      <c r="K178">
        <f>YEAR(B178)</f>
        <v/>
      </c>
    </row>
    <row r="179">
      <c r="A179" t="inlineStr">
        <is>
          <t>ORD-1178</t>
        </is>
      </c>
      <c r="B179" s="1" t="n">
        <v>45754</v>
      </c>
      <c r="C179" t="inlineStr">
        <is>
          <t>CUST-209</t>
        </is>
      </c>
      <c r="D179" t="inlineStr">
        <is>
          <t>North</t>
        </is>
      </c>
      <c r="E179" t="inlineStr">
        <is>
          <t>Table</t>
        </is>
      </c>
      <c r="F179" t="inlineStr">
        <is>
          <t>Furniture</t>
        </is>
      </c>
      <c r="G179" t="n">
        <v>4</v>
      </c>
      <c r="H179" t="n">
        <v>150</v>
      </c>
      <c r="I179" t="n">
        <v>600</v>
      </c>
      <c r="J179">
        <f>TEXT(B179,"YYYY-MM")</f>
        <v/>
      </c>
      <c r="K179">
        <f>YEAR(B179)</f>
        <v/>
      </c>
    </row>
    <row r="180">
      <c r="A180" t="inlineStr">
        <is>
          <t>ORD-1179</t>
        </is>
      </c>
      <c r="B180" s="1" t="n">
        <v>45669</v>
      </c>
      <c r="C180" t="inlineStr">
        <is>
          <t>CUST-326</t>
        </is>
      </c>
      <c r="D180" t="inlineStr">
        <is>
          <t>North</t>
        </is>
      </c>
      <c r="E180" t="inlineStr">
        <is>
          <t>Blender</t>
        </is>
      </c>
      <c r="F180" t="inlineStr">
        <is>
          <t>Appliances</t>
        </is>
      </c>
      <c r="G180" t="n">
        <v>10</v>
      </c>
      <c r="H180" t="n">
        <v>80</v>
      </c>
      <c r="I180" t="n">
        <v>800</v>
      </c>
      <c r="J180">
        <f>TEXT(B180,"YYYY-MM")</f>
        <v/>
      </c>
      <c r="K180">
        <f>YEAR(B180)</f>
        <v/>
      </c>
    </row>
    <row r="181">
      <c r="A181" t="inlineStr">
        <is>
          <t>ORD-1180</t>
        </is>
      </c>
      <c r="B181" s="1" t="n">
        <v>45338</v>
      </c>
      <c r="C181" t="inlineStr">
        <is>
          <t>CUST-430</t>
        </is>
      </c>
      <c r="D181" t="inlineStr">
        <is>
          <t>West</t>
        </is>
      </c>
      <c r="E181" t="inlineStr">
        <is>
          <t>Sofa</t>
        </is>
      </c>
      <c r="F181" t="inlineStr">
        <is>
          <t>Furniture</t>
        </is>
      </c>
      <c r="G181" t="n">
        <v>9</v>
      </c>
      <c r="H181" t="n">
        <v>400</v>
      </c>
      <c r="I181" t="n">
        <v>3600</v>
      </c>
      <c r="J181">
        <f>TEXT(B181,"YYYY-MM")</f>
        <v/>
      </c>
      <c r="K181">
        <f>YEAR(B181)</f>
        <v/>
      </c>
    </row>
    <row r="182">
      <c r="A182" t="inlineStr">
        <is>
          <t>ORD-1181</t>
        </is>
      </c>
      <c r="B182" s="1" t="n">
        <v>45573</v>
      </c>
      <c r="C182" t="inlineStr">
        <is>
          <t>CUST-103</t>
        </is>
      </c>
      <c r="D182" t="inlineStr">
        <is>
          <t>West</t>
        </is>
      </c>
      <c r="E182" t="inlineStr">
        <is>
          <t>Blender</t>
        </is>
      </c>
      <c r="F182" t="inlineStr">
        <is>
          <t>Appliances</t>
        </is>
      </c>
      <c r="G182" t="n">
        <v>9</v>
      </c>
      <c r="H182" t="n">
        <v>80</v>
      </c>
      <c r="I182" t="n">
        <v>720</v>
      </c>
      <c r="J182">
        <f>TEXT(B182,"YYYY-MM")</f>
        <v/>
      </c>
      <c r="K182">
        <f>YEAR(B182)</f>
        <v/>
      </c>
    </row>
    <row r="183">
      <c r="A183" t="inlineStr">
        <is>
          <t>ORD-1182</t>
        </is>
      </c>
      <c r="B183" s="1" t="n">
        <v>45430</v>
      </c>
      <c r="C183" t="inlineStr">
        <is>
          <t>CUST-177</t>
        </is>
      </c>
      <c r="D183" t="inlineStr">
        <is>
          <t>West</t>
        </is>
      </c>
      <c r="E183" t="inlineStr">
        <is>
          <t>Refrigerator</t>
        </is>
      </c>
      <c r="F183" t="inlineStr">
        <is>
          <t>Appliances</t>
        </is>
      </c>
      <c r="G183" t="n">
        <v>5</v>
      </c>
      <c r="H183" t="n">
        <v>600</v>
      </c>
      <c r="I183" t="n">
        <v>3000</v>
      </c>
      <c r="J183">
        <f>TEXT(B183,"YYYY-MM")</f>
        <v/>
      </c>
      <c r="K183">
        <f>YEAR(B183)</f>
        <v/>
      </c>
    </row>
    <row r="184">
      <c r="A184" t="inlineStr">
        <is>
          <t>ORD-1183</t>
        </is>
      </c>
      <c r="B184" s="1" t="n">
        <v>45850</v>
      </c>
      <c r="C184" t="inlineStr">
        <is>
          <t>CUST-487</t>
        </is>
      </c>
      <c r="D184" t="inlineStr">
        <is>
          <t>North</t>
        </is>
      </c>
      <c r="E184" t="inlineStr">
        <is>
          <t>Table</t>
        </is>
      </c>
      <c r="F184" t="inlineStr">
        <is>
          <t>Furniture</t>
        </is>
      </c>
      <c r="G184" t="n">
        <v>8</v>
      </c>
      <c r="H184" t="n">
        <v>150</v>
      </c>
      <c r="I184" t="n">
        <v>1200</v>
      </c>
      <c r="J184">
        <f>TEXT(B184,"YYYY-MM")</f>
        <v/>
      </c>
      <c r="K184">
        <f>YEAR(B184)</f>
        <v/>
      </c>
    </row>
    <row r="185">
      <c r="A185" t="inlineStr">
        <is>
          <t>ORD-1184</t>
        </is>
      </c>
      <c r="B185" s="1" t="n">
        <v>45635</v>
      </c>
      <c r="C185" t="inlineStr">
        <is>
          <t>CUST-391</t>
        </is>
      </c>
      <c r="D185" t="inlineStr">
        <is>
          <t>East</t>
        </is>
      </c>
      <c r="E185" t="inlineStr">
        <is>
          <t>Sofa</t>
        </is>
      </c>
      <c r="F185" t="inlineStr">
        <is>
          <t>Furniture</t>
        </is>
      </c>
      <c r="G185" t="n">
        <v>1</v>
      </c>
      <c r="H185" t="n">
        <v>400</v>
      </c>
      <c r="I185" t="n">
        <v>400</v>
      </c>
      <c r="J185">
        <f>TEXT(B185,"YYYY-MM")</f>
        <v/>
      </c>
      <c r="K185">
        <f>YEAR(B185)</f>
        <v/>
      </c>
    </row>
    <row r="186">
      <c r="A186" t="inlineStr">
        <is>
          <t>ORD-1185</t>
        </is>
      </c>
      <c r="B186" s="1" t="n">
        <v>45775</v>
      </c>
      <c r="C186" t="inlineStr">
        <is>
          <t>CUST-458</t>
        </is>
      </c>
      <c r="D186" t="inlineStr">
        <is>
          <t>North</t>
        </is>
      </c>
      <c r="E186" t="inlineStr">
        <is>
          <t>Table</t>
        </is>
      </c>
      <c r="F186" t="inlineStr">
        <is>
          <t>Furniture</t>
        </is>
      </c>
      <c r="G186" t="n">
        <v>8</v>
      </c>
      <c r="H186" t="n">
        <v>150</v>
      </c>
      <c r="I186" t="n">
        <v>1200</v>
      </c>
      <c r="J186">
        <f>TEXT(B186,"YYYY-MM")</f>
        <v/>
      </c>
      <c r="K186">
        <f>YEAR(B186)</f>
        <v/>
      </c>
    </row>
    <row r="187">
      <c r="A187" t="inlineStr">
        <is>
          <t>ORD-1186</t>
        </is>
      </c>
      <c r="B187" s="1" t="n">
        <v>45367</v>
      </c>
      <c r="C187" t="inlineStr">
        <is>
          <t>CUST-193</t>
        </is>
      </c>
      <c r="D187" t="inlineStr">
        <is>
          <t>West</t>
        </is>
      </c>
      <c r="E187" t="inlineStr">
        <is>
          <t>Sofa</t>
        </is>
      </c>
      <c r="F187" t="inlineStr">
        <is>
          <t>Furniture</t>
        </is>
      </c>
      <c r="G187" t="n">
        <v>4</v>
      </c>
      <c r="H187" t="n">
        <v>400</v>
      </c>
      <c r="I187" t="n">
        <v>1600</v>
      </c>
      <c r="J187">
        <f>TEXT(B187,"YYYY-MM")</f>
        <v/>
      </c>
      <c r="K187">
        <f>YEAR(B187)</f>
        <v/>
      </c>
    </row>
    <row r="188">
      <c r="A188" t="inlineStr">
        <is>
          <t>ORD-1187</t>
        </is>
      </c>
      <c r="B188" s="1" t="n">
        <v>45525</v>
      </c>
      <c r="C188" t="inlineStr">
        <is>
          <t>CUST-142</t>
        </is>
      </c>
      <c r="D188" t="inlineStr">
        <is>
          <t>West</t>
        </is>
      </c>
      <c r="E188" t="inlineStr">
        <is>
          <t>Refrigerator</t>
        </is>
      </c>
      <c r="F188" t="inlineStr">
        <is>
          <t>Appliances</t>
        </is>
      </c>
      <c r="G188" t="n">
        <v>1</v>
      </c>
      <c r="H188" t="n">
        <v>600</v>
      </c>
      <c r="I188" t="n">
        <v>600</v>
      </c>
      <c r="J188">
        <f>TEXT(B188,"YYYY-MM")</f>
        <v/>
      </c>
      <c r="K188">
        <f>YEAR(B188)</f>
        <v/>
      </c>
    </row>
    <row r="189">
      <c r="A189" t="inlineStr">
        <is>
          <t>ORD-1188</t>
        </is>
      </c>
      <c r="B189" s="1" t="n">
        <v>45333</v>
      </c>
      <c r="C189" t="inlineStr">
        <is>
          <t>CUST-362</t>
        </is>
      </c>
      <c r="D189" t="inlineStr">
        <is>
          <t>South</t>
        </is>
      </c>
      <c r="E189" t="inlineStr">
        <is>
          <t>Blender</t>
        </is>
      </c>
      <c r="F189" t="inlineStr">
        <is>
          <t>Appliances</t>
        </is>
      </c>
      <c r="G189" t="n">
        <v>10</v>
      </c>
      <c r="H189" t="n">
        <v>80</v>
      </c>
      <c r="I189" t="n">
        <v>800</v>
      </c>
      <c r="J189">
        <f>TEXT(B189,"YYYY-MM")</f>
        <v/>
      </c>
      <c r="K189">
        <f>YEAR(B189)</f>
        <v/>
      </c>
    </row>
    <row r="190">
      <c r="A190" t="inlineStr">
        <is>
          <t>ORD-1189</t>
        </is>
      </c>
      <c r="B190" s="1" t="n">
        <v>45975</v>
      </c>
      <c r="C190" t="inlineStr">
        <is>
          <t>CUST-250</t>
        </is>
      </c>
      <c r="D190" t="inlineStr">
        <is>
          <t>South</t>
        </is>
      </c>
      <c r="E190" t="inlineStr">
        <is>
          <t>Refrigerator</t>
        </is>
      </c>
      <c r="F190" t="inlineStr">
        <is>
          <t>Appliances</t>
        </is>
      </c>
      <c r="G190" t="n">
        <v>10</v>
      </c>
      <c r="H190" t="n">
        <v>600</v>
      </c>
      <c r="I190" t="n">
        <v>6000</v>
      </c>
      <c r="J190">
        <f>TEXT(B190,"YYYY-MM")</f>
        <v/>
      </c>
      <c r="K190">
        <f>YEAR(B190)</f>
        <v/>
      </c>
    </row>
    <row r="191">
      <c r="A191" t="inlineStr">
        <is>
          <t>ORD-1190</t>
        </is>
      </c>
      <c r="B191" s="1" t="n">
        <v>45817</v>
      </c>
      <c r="C191" t="inlineStr">
        <is>
          <t>CUST-286</t>
        </is>
      </c>
      <c r="D191" t="inlineStr">
        <is>
          <t>North</t>
        </is>
      </c>
      <c r="E191" t="inlineStr">
        <is>
          <t>Headphones</t>
        </is>
      </c>
      <c r="F191" t="inlineStr">
        <is>
          <t>Electronics</t>
        </is>
      </c>
      <c r="G191" t="n">
        <v>5</v>
      </c>
      <c r="H191" t="n">
        <v>50</v>
      </c>
      <c r="I191" t="n">
        <v>250</v>
      </c>
      <c r="J191">
        <f>TEXT(B191,"YYYY-MM")</f>
        <v/>
      </c>
      <c r="K191">
        <f>YEAR(B191)</f>
        <v/>
      </c>
    </row>
    <row r="192">
      <c r="A192" t="inlineStr">
        <is>
          <t>ORD-1191</t>
        </is>
      </c>
      <c r="B192" s="1" t="n">
        <v>45730</v>
      </c>
      <c r="C192" t="inlineStr">
        <is>
          <t>CUST-150</t>
        </is>
      </c>
      <c r="D192" t="inlineStr">
        <is>
          <t>South</t>
        </is>
      </c>
      <c r="E192" t="inlineStr">
        <is>
          <t>Refrigerator</t>
        </is>
      </c>
      <c r="F192" t="inlineStr">
        <is>
          <t>Appliances</t>
        </is>
      </c>
      <c r="G192" t="n">
        <v>1</v>
      </c>
      <c r="H192" t="n">
        <v>600</v>
      </c>
      <c r="I192" t="n">
        <v>600</v>
      </c>
      <c r="J192">
        <f>TEXT(B192,"YYYY-MM")</f>
        <v/>
      </c>
      <c r="K192">
        <f>YEAR(B192)</f>
        <v/>
      </c>
    </row>
    <row r="193">
      <c r="A193" t="inlineStr">
        <is>
          <t>ORD-1192</t>
        </is>
      </c>
      <c r="B193" s="1" t="n">
        <v>45704</v>
      </c>
      <c r="C193" t="inlineStr">
        <is>
          <t>CUST-369</t>
        </is>
      </c>
      <c r="D193" t="inlineStr">
        <is>
          <t>South</t>
        </is>
      </c>
      <c r="E193" t="inlineStr">
        <is>
          <t>Headphones</t>
        </is>
      </c>
      <c r="F193" t="inlineStr">
        <is>
          <t>Electronics</t>
        </is>
      </c>
      <c r="G193" t="n">
        <v>10</v>
      </c>
      <c r="H193" t="n">
        <v>50</v>
      </c>
      <c r="I193" t="n">
        <v>500</v>
      </c>
      <c r="J193">
        <f>TEXT(B193,"YYYY-MM")</f>
        <v/>
      </c>
      <c r="K193">
        <f>YEAR(B193)</f>
        <v/>
      </c>
    </row>
    <row r="194">
      <c r="A194" t="inlineStr">
        <is>
          <t>ORD-1193</t>
        </is>
      </c>
      <c r="B194" s="1" t="n">
        <v>45992</v>
      </c>
      <c r="C194" t="inlineStr">
        <is>
          <t>CUST-197</t>
        </is>
      </c>
      <c r="D194" t="inlineStr">
        <is>
          <t>West</t>
        </is>
      </c>
      <c r="E194" t="inlineStr">
        <is>
          <t>Sofa</t>
        </is>
      </c>
      <c r="F194" t="inlineStr">
        <is>
          <t>Furniture</t>
        </is>
      </c>
      <c r="G194" t="n">
        <v>4</v>
      </c>
      <c r="H194" t="n">
        <v>400</v>
      </c>
      <c r="I194" t="n">
        <v>1600</v>
      </c>
      <c r="J194">
        <f>TEXT(B194,"YYYY-MM")</f>
        <v/>
      </c>
      <c r="K194">
        <f>YEAR(B194)</f>
        <v/>
      </c>
    </row>
    <row r="195">
      <c r="A195" t="inlineStr">
        <is>
          <t>ORD-1194</t>
        </is>
      </c>
      <c r="B195" s="1" t="n">
        <v>45633</v>
      </c>
      <c r="C195" t="inlineStr">
        <is>
          <t>CUST-265</t>
        </is>
      </c>
      <c r="D195" t="inlineStr">
        <is>
          <t>East</t>
        </is>
      </c>
      <c r="E195" t="inlineStr">
        <is>
          <t>Sofa</t>
        </is>
      </c>
      <c r="F195" t="inlineStr">
        <is>
          <t>Furniture</t>
        </is>
      </c>
      <c r="G195" t="n">
        <v>2</v>
      </c>
      <c r="H195" t="n">
        <v>400</v>
      </c>
      <c r="I195" t="n">
        <v>800</v>
      </c>
      <c r="J195">
        <f>TEXT(B195,"YYYY-MM")</f>
        <v/>
      </c>
      <c r="K195">
        <f>YEAR(B195)</f>
        <v/>
      </c>
    </row>
    <row r="196">
      <c r="A196" t="inlineStr">
        <is>
          <t>ORD-1195</t>
        </is>
      </c>
      <c r="B196" s="1" t="n">
        <v>45452</v>
      </c>
      <c r="C196" t="inlineStr">
        <is>
          <t>CUST-155</t>
        </is>
      </c>
      <c r="D196" t="inlineStr">
        <is>
          <t>North</t>
        </is>
      </c>
      <c r="E196" t="inlineStr">
        <is>
          <t>Refrigerator</t>
        </is>
      </c>
      <c r="F196" t="inlineStr">
        <is>
          <t>Appliances</t>
        </is>
      </c>
      <c r="G196" t="n">
        <v>4</v>
      </c>
      <c r="H196" t="n">
        <v>600</v>
      </c>
      <c r="I196" t="n">
        <v>2400</v>
      </c>
      <c r="J196">
        <f>TEXT(B196,"YYYY-MM")</f>
        <v/>
      </c>
      <c r="K196">
        <f>YEAR(B196)</f>
        <v/>
      </c>
    </row>
    <row r="197">
      <c r="A197" t="inlineStr">
        <is>
          <t>ORD-1196</t>
        </is>
      </c>
      <c r="B197" s="1" t="n">
        <v>45964</v>
      </c>
      <c r="C197" t="inlineStr">
        <is>
          <t>CUST-136</t>
        </is>
      </c>
      <c r="D197" t="inlineStr">
        <is>
          <t>East</t>
        </is>
      </c>
      <c r="E197" t="inlineStr">
        <is>
          <t>Blender</t>
        </is>
      </c>
      <c r="F197" t="inlineStr">
        <is>
          <t>Appliances</t>
        </is>
      </c>
      <c r="G197" t="n">
        <v>9</v>
      </c>
      <c r="H197" t="n">
        <v>80</v>
      </c>
      <c r="I197" t="n">
        <v>720</v>
      </c>
      <c r="J197">
        <f>TEXT(B197,"YYYY-MM")</f>
        <v/>
      </c>
      <c r="K197">
        <f>YEAR(B197)</f>
        <v/>
      </c>
    </row>
    <row r="198">
      <c r="A198" t="inlineStr">
        <is>
          <t>ORD-1197</t>
        </is>
      </c>
      <c r="B198" s="1" t="n">
        <v>45916</v>
      </c>
      <c r="C198" t="inlineStr">
        <is>
          <t>CUST-381</t>
        </is>
      </c>
      <c r="D198" t="inlineStr">
        <is>
          <t>West</t>
        </is>
      </c>
      <c r="E198" t="inlineStr">
        <is>
          <t>Sofa</t>
        </is>
      </c>
      <c r="F198" t="inlineStr">
        <is>
          <t>Furniture</t>
        </is>
      </c>
      <c r="G198" t="n">
        <v>3</v>
      </c>
      <c r="H198" t="n">
        <v>400</v>
      </c>
      <c r="I198" t="n">
        <v>1200</v>
      </c>
      <c r="J198">
        <f>TEXT(B198,"YYYY-MM")</f>
        <v/>
      </c>
      <c r="K198">
        <f>YEAR(B198)</f>
        <v/>
      </c>
    </row>
    <row r="199">
      <c r="A199" t="inlineStr">
        <is>
          <t>ORD-1198</t>
        </is>
      </c>
      <c r="B199" s="1" t="n">
        <v>45617</v>
      </c>
      <c r="C199" t="inlineStr">
        <is>
          <t>CUST-182</t>
        </is>
      </c>
      <c r="D199" t="inlineStr">
        <is>
          <t>South</t>
        </is>
      </c>
      <c r="E199" t="inlineStr">
        <is>
          <t>Blender</t>
        </is>
      </c>
      <c r="F199" t="inlineStr">
        <is>
          <t>Appliances</t>
        </is>
      </c>
      <c r="G199" t="n">
        <v>9</v>
      </c>
      <c r="H199" t="n">
        <v>80</v>
      </c>
      <c r="I199" t="n">
        <v>720</v>
      </c>
      <c r="J199">
        <f>TEXT(B199,"YYYY-MM")</f>
        <v/>
      </c>
      <c r="K199">
        <f>YEAR(B199)</f>
        <v/>
      </c>
    </row>
    <row r="200">
      <c r="A200" t="inlineStr">
        <is>
          <t>ORD-1199</t>
        </is>
      </c>
      <c r="B200" s="1" t="n">
        <v>45726</v>
      </c>
      <c r="C200" t="inlineStr">
        <is>
          <t>CUST-256</t>
        </is>
      </c>
      <c r="D200" t="inlineStr">
        <is>
          <t>South</t>
        </is>
      </c>
      <c r="E200" t="inlineStr">
        <is>
          <t>Blender</t>
        </is>
      </c>
      <c r="F200" t="inlineStr">
        <is>
          <t>Appliances</t>
        </is>
      </c>
      <c r="G200" t="n">
        <v>3</v>
      </c>
      <c r="H200" t="n">
        <v>80</v>
      </c>
      <c r="I200" t="n">
        <v>240</v>
      </c>
      <c r="J200">
        <f>TEXT(B200,"YYYY-MM")</f>
        <v/>
      </c>
      <c r="K200">
        <f>YEAR(B200)</f>
        <v/>
      </c>
    </row>
    <row r="201">
      <c r="A201" t="inlineStr">
        <is>
          <t>ORD-1200</t>
        </is>
      </c>
      <c r="B201" s="1" t="n">
        <v>45609</v>
      </c>
      <c r="C201" t="inlineStr">
        <is>
          <t>CUST-458</t>
        </is>
      </c>
      <c r="D201" t="inlineStr">
        <is>
          <t>North</t>
        </is>
      </c>
      <c r="E201" t="inlineStr">
        <is>
          <t>Refrigerator</t>
        </is>
      </c>
      <c r="F201" t="inlineStr">
        <is>
          <t>Appliances</t>
        </is>
      </c>
      <c r="G201" t="n">
        <v>3</v>
      </c>
      <c r="H201" t="n">
        <v>600</v>
      </c>
      <c r="I201" t="n">
        <v>1800</v>
      </c>
      <c r="J201">
        <f>TEXT(B201,"YYYY-MM")</f>
        <v/>
      </c>
      <c r="K201">
        <f>YEAR(B201)</f>
        <v/>
      </c>
    </row>
    <row r="202">
      <c r="A202" t="inlineStr">
        <is>
          <t>ORD-1201</t>
        </is>
      </c>
      <c r="B202" s="1" t="n">
        <v>45833</v>
      </c>
      <c r="C202" t="inlineStr">
        <is>
          <t>CUST-172</t>
        </is>
      </c>
      <c r="D202" t="inlineStr">
        <is>
          <t>South</t>
        </is>
      </c>
      <c r="E202" t="inlineStr">
        <is>
          <t>Sofa</t>
        </is>
      </c>
      <c r="F202" t="inlineStr">
        <is>
          <t>Furniture</t>
        </is>
      </c>
      <c r="G202" t="n">
        <v>9</v>
      </c>
      <c r="H202" t="n">
        <v>400</v>
      </c>
      <c r="I202" t="n">
        <v>3600</v>
      </c>
      <c r="J202">
        <f>TEXT(B202,"YYYY-MM")</f>
        <v/>
      </c>
      <c r="K202">
        <f>YEAR(B202)</f>
        <v/>
      </c>
    </row>
    <row r="203">
      <c r="A203" t="inlineStr">
        <is>
          <t>ORD-1202</t>
        </is>
      </c>
      <c r="B203" s="1" t="n">
        <v>45358</v>
      </c>
      <c r="C203" t="inlineStr">
        <is>
          <t>CUST-463</t>
        </is>
      </c>
      <c r="D203" t="inlineStr">
        <is>
          <t>East</t>
        </is>
      </c>
      <c r="E203" t="inlineStr">
        <is>
          <t>Table</t>
        </is>
      </c>
      <c r="F203" t="inlineStr">
        <is>
          <t>Furniture</t>
        </is>
      </c>
      <c r="G203" t="n">
        <v>5</v>
      </c>
      <c r="H203" t="n">
        <v>150</v>
      </c>
      <c r="I203" t="n">
        <v>750</v>
      </c>
      <c r="J203">
        <f>TEXT(B203,"YYYY-MM")</f>
        <v/>
      </c>
      <c r="K203">
        <f>YEAR(B203)</f>
        <v/>
      </c>
    </row>
    <row r="204">
      <c r="A204" t="inlineStr">
        <is>
          <t>ORD-1203</t>
        </is>
      </c>
      <c r="B204" s="1" t="n">
        <v>45740</v>
      </c>
      <c r="C204" t="inlineStr">
        <is>
          <t>CUST-336</t>
        </is>
      </c>
      <c r="D204" t="inlineStr">
        <is>
          <t>North</t>
        </is>
      </c>
      <c r="E204" t="inlineStr">
        <is>
          <t>Headphones</t>
        </is>
      </c>
      <c r="F204" t="inlineStr">
        <is>
          <t>Electronics</t>
        </is>
      </c>
      <c r="G204" t="n">
        <v>1</v>
      </c>
      <c r="H204" t="n">
        <v>50</v>
      </c>
      <c r="I204" t="n">
        <v>50</v>
      </c>
      <c r="J204">
        <f>TEXT(B204,"YYYY-MM")</f>
        <v/>
      </c>
      <c r="K204">
        <f>YEAR(B204)</f>
        <v/>
      </c>
    </row>
    <row r="205">
      <c r="A205" t="inlineStr">
        <is>
          <t>ORD-1204</t>
        </is>
      </c>
      <c r="B205" s="1" t="n">
        <v>45353</v>
      </c>
      <c r="C205" t="inlineStr">
        <is>
          <t>CUST-379</t>
        </is>
      </c>
      <c r="D205" t="inlineStr">
        <is>
          <t>East</t>
        </is>
      </c>
      <c r="E205" t="inlineStr">
        <is>
          <t>Refrigerator</t>
        </is>
      </c>
      <c r="F205" t="inlineStr">
        <is>
          <t>Appliances</t>
        </is>
      </c>
      <c r="G205" t="n">
        <v>5</v>
      </c>
      <c r="H205" t="n">
        <v>600</v>
      </c>
      <c r="I205" t="n">
        <v>3000</v>
      </c>
      <c r="J205">
        <f>TEXT(B205,"YYYY-MM")</f>
        <v/>
      </c>
      <c r="K205">
        <f>YEAR(B205)</f>
        <v/>
      </c>
    </row>
    <row r="206">
      <c r="A206" t="inlineStr">
        <is>
          <t>ORD-1205</t>
        </is>
      </c>
      <c r="B206" s="1" t="n">
        <v>45345</v>
      </c>
      <c r="C206" t="inlineStr">
        <is>
          <t>CUST-248</t>
        </is>
      </c>
      <c r="D206" t="inlineStr">
        <is>
          <t>West</t>
        </is>
      </c>
      <c r="E206" t="inlineStr">
        <is>
          <t>Refrigerator</t>
        </is>
      </c>
      <c r="F206" t="inlineStr">
        <is>
          <t>Appliances</t>
        </is>
      </c>
      <c r="G206" t="n">
        <v>3</v>
      </c>
      <c r="H206" t="n">
        <v>600</v>
      </c>
      <c r="I206" t="n">
        <v>1800</v>
      </c>
      <c r="J206">
        <f>TEXT(B206,"YYYY-MM")</f>
        <v/>
      </c>
      <c r="K206">
        <f>YEAR(B206)</f>
        <v/>
      </c>
    </row>
    <row r="207">
      <c r="A207" t="inlineStr">
        <is>
          <t>ORD-1206</t>
        </is>
      </c>
      <c r="B207" s="1" t="n">
        <v>45859</v>
      </c>
      <c r="C207" t="inlineStr">
        <is>
          <t>CUST-433</t>
        </is>
      </c>
      <c r="D207" t="inlineStr">
        <is>
          <t>East</t>
        </is>
      </c>
      <c r="E207" t="inlineStr">
        <is>
          <t>Headphones</t>
        </is>
      </c>
      <c r="F207" t="inlineStr">
        <is>
          <t>Electronics</t>
        </is>
      </c>
      <c r="G207" t="n">
        <v>3</v>
      </c>
      <c r="H207" t="n">
        <v>50</v>
      </c>
      <c r="I207" t="n">
        <v>150</v>
      </c>
      <c r="J207">
        <f>TEXT(B207,"YYYY-MM")</f>
        <v/>
      </c>
      <c r="K207">
        <f>YEAR(B207)</f>
        <v/>
      </c>
    </row>
    <row r="208">
      <c r="A208" t="inlineStr">
        <is>
          <t>ORD-1207</t>
        </is>
      </c>
      <c r="B208" s="1" t="n">
        <v>45714</v>
      </c>
      <c r="C208" t="inlineStr">
        <is>
          <t>CUST-360</t>
        </is>
      </c>
      <c r="D208" t="inlineStr">
        <is>
          <t>North</t>
        </is>
      </c>
      <c r="E208" t="inlineStr">
        <is>
          <t>Blender</t>
        </is>
      </c>
      <c r="F208" t="inlineStr">
        <is>
          <t>Appliances</t>
        </is>
      </c>
      <c r="G208" t="n">
        <v>10</v>
      </c>
      <c r="H208" t="n">
        <v>80</v>
      </c>
      <c r="I208" t="n">
        <v>800</v>
      </c>
      <c r="J208">
        <f>TEXT(B208,"YYYY-MM")</f>
        <v/>
      </c>
      <c r="K208">
        <f>YEAR(B208)</f>
        <v/>
      </c>
    </row>
    <row r="209">
      <c r="A209" t="inlineStr">
        <is>
          <t>ORD-1208</t>
        </is>
      </c>
      <c r="B209" s="1" t="n">
        <v>45580</v>
      </c>
      <c r="C209" t="inlineStr">
        <is>
          <t>CUST-249</t>
        </is>
      </c>
      <c r="D209" t="inlineStr">
        <is>
          <t>East</t>
        </is>
      </c>
      <c r="E209" t="inlineStr">
        <is>
          <t>Refrigerator</t>
        </is>
      </c>
      <c r="F209" t="inlineStr">
        <is>
          <t>Appliances</t>
        </is>
      </c>
      <c r="G209" t="n">
        <v>4</v>
      </c>
      <c r="H209" t="n">
        <v>600</v>
      </c>
      <c r="I209" t="n">
        <v>2400</v>
      </c>
      <c r="J209">
        <f>TEXT(B209,"YYYY-MM")</f>
        <v/>
      </c>
      <c r="K209">
        <f>YEAR(B209)</f>
        <v/>
      </c>
    </row>
    <row r="210">
      <c r="A210" t="inlineStr">
        <is>
          <t>ORD-1209</t>
        </is>
      </c>
      <c r="B210" s="1" t="n">
        <v>45546</v>
      </c>
      <c r="C210" t="inlineStr">
        <is>
          <t>CUST-437</t>
        </is>
      </c>
      <c r="D210" t="inlineStr">
        <is>
          <t>West</t>
        </is>
      </c>
      <c r="E210" t="inlineStr">
        <is>
          <t>Blender</t>
        </is>
      </c>
      <c r="F210" t="inlineStr">
        <is>
          <t>Appliances</t>
        </is>
      </c>
      <c r="G210" t="n">
        <v>7</v>
      </c>
      <c r="H210" t="n">
        <v>80</v>
      </c>
      <c r="I210" t="n">
        <v>560</v>
      </c>
      <c r="J210">
        <f>TEXT(B210,"YYYY-MM")</f>
        <v/>
      </c>
      <c r="K210">
        <f>YEAR(B210)</f>
        <v/>
      </c>
    </row>
    <row r="211">
      <c r="A211" t="inlineStr">
        <is>
          <t>ORD-1210</t>
        </is>
      </c>
      <c r="B211" s="1" t="n">
        <v>45901</v>
      </c>
      <c r="C211" t="inlineStr">
        <is>
          <t>CUST-213</t>
        </is>
      </c>
      <c r="D211" t="inlineStr">
        <is>
          <t>East</t>
        </is>
      </c>
      <c r="E211" t="inlineStr">
        <is>
          <t>Laptop</t>
        </is>
      </c>
      <c r="F211" t="inlineStr">
        <is>
          <t>Electronics</t>
        </is>
      </c>
      <c r="G211" t="n">
        <v>8</v>
      </c>
      <c r="H211" t="n">
        <v>800</v>
      </c>
      <c r="I211" t="n">
        <v>6400</v>
      </c>
      <c r="J211">
        <f>TEXT(B211,"YYYY-MM")</f>
        <v/>
      </c>
      <c r="K211">
        <f>YEAR(B211)</f>
        <v/>
      </c>
    </row>
    <row r="212">
      <c r="A212" t="inlineStr">
        <is>
          <t>ORD-1211</t>
        </is>
      </c>
      <c r="B212" s="1" t="n">
        <v>45500</v>
      </c>
      <c r="C212" t="inlineStr">
        <is>
          <t>CUST-443</t>
        </is>
      </c>
      <c r="D212" t="inlineStr">
        <is>
          <t>East</t>
        </is>
      </c>
      <c r="E212" t="inlineStr">
        <is>
          <t>Blender</t>
        </is>
      </c>
      <c r="F212" t="inlineStr">
        <is>
          <t>Appliances</t>
        </is>
      </c>
      <c r="G212" t="n">
        <v>2</v>
      </c>
      <c r="H212" t="n">
        <v>80</v>
      </c>
      <c r="I212" t="n">
        <v>160</v>
      </c>
      <c r="J212">
        <f>TEXT(B212,"YYYY-MM")</f>
        <v/>
      </c>
      <c r="K212">
        <f>YEAR(B212)</f>
        <v/>
      </c>
    </row>
    <row r="213">
      <c r="A213" t="inlineStr">
        <is>
          <t>ORD-1212</t>
        </is>
      </c>
      <c r="B213" s="1" t="n">
        <v>45456</v>
      </c>
      <c r="C213" t="inlineStr">
        <is>
          <t>CUST-499</t>
        </is>
      </c>
      <c r="D213" t="inlineStr">
        <is>
          <t>South</t>
        </is>
      </c>
      <c r="E213" t="inlineStr">
        <is>
          <t>Table</t>
        </is>
      </c>
      <c r="F213" t="inlineStr">
        <is>
          <t>Furniture</t>
        </is>
      </c>
      <c r="G213" t="n">
        <v>9</v>
      </c>
      <c r="H213" t="n">
        <v>150</v>
      </c>
      <c r="I213" t="n">
        <v>1350</v>
      </c>
      <c r="J213">
        <f>TEXT(B213,"YYYY-MM")</f>
        <v/>
      </c>
      <c r="K213">
        <f>YEAR(B213)</f>
        <v/>
      </c>
    </row>
    <row r="214">
      <c r="A214" t="inlineStr">
        <is>
          <t>ORD-1213</t>
        </is>
      </c>
      <c r="B214" s="1" t="n">
        <v>45483</v>
      </c>
      <c r="C214" t="inlineStr">
        <is>
          <t>CUST-192</t>
        </is>
      </c>
      <c r="D214" t="inlineStr">
        <is>
          <t>North</t>
        </is>
      </c>
      <c r="E214" t="inlineStr">
        <is>
          <t>Headphones</t>
        </is>
      </c>
      <c r="F214" t="inlineStr">
        <is>
          <t>Electronics</t>
        </is>
      </c>
      <c r="G214" t="n">
        <v>6</v>
      </c>
      <c r="H214" t="n">
        <v>50</v>
      </c>
      <c r="I214" t="n">
        <v>300</v>
      </c>
      <c r="J214">
        <f>TEXT(B214,"YYYY-MM")</f>
        <v/>
      </c>
      <c r="K214">
        <f>YEAR(B214)</f>
        <v/>
      </c>
    </row>
    <row r="215">
      <c r="A215" t="inlineStr">
        <is>
          <t>ORD-1214</t>
        </is>
      </c>
      <c r="B215" s="1" t="n">
        <v>45549</v>
      </c>
      <c r="C215" t="inlineStr">
        <is>
          <t>CUST-205</t>
        </is>
      </c>
      <c r="D215" t="inlineStr">
        <is>
          <t>West</t>
        </is>
      </c>
      <c r="E215" t="inlineStr">
        <is>
          <t>Laptop</t>
        </is>
      </c>
      <c r="F215" t="inlineStr">
        <is>
          <t>Electronics</t>
        </is>
      </c>
      <c r="G215" t="n">
        <v>3</v>
      </c>
      <c r="H215" t="n">
        <v>800</v>
      </c>
      <c r="I215" t="n">
        <v>2400</v>
      </c>
      <c r="J215">
        <f>TEXT(B215,"YYYY-MM")</f>
        <v/>
      </c>
      <c r="K215">
        <f>YEAR(B215)</f>
        <v/>
      </c>
    </row>
    <row r="216">
      <c r="A216" t="inlineStr">
        <is>
          <t>ORD-1215</t>
        </is>
      </c>
      <c r="B216" s="1" t="n">
        <v>45408</v>
      </c>
      <c r="C216" t="inlineStr">
        <is>
          <t>CUST-317</t>
        </is>
      </c>
      <c r="D216" t="inlineStr">
        <is>
          <t>South</t>
        </is>
      </c>
      <c r="E216" t="inlineStr">
        <is>
          <t>Table</t>
        </is>
      </c>
      <c r="F216" t="inlineStr">
        <is>
          <t>Furniture</t>
        </is>
      </c>
      <c r="G216" t="n">
        <v>8</v>
      </c>
      <c r="H216" t="n">
        <v>150</v>
      </c>
      <c r="I216" t="n">
        <v>1200</v>
      </c>
      <c r="J216">
        <f>TEXT(B216,"YYYY-MM")</f>
        <v/>
      </c>
      <c r="K216">
        <f>YEAR(B216)</f>
        <v/>
      </c>
    </row>
    <row r="217">
      <c r="A217" t="inlineStr">
        <is>
          <t>ORD-1216</t>
        </is>
      </c>
      <c r="B217" s="1" t="n">
        <v>45325</v>
      </c>
      <c r="C217" t="inlineStr">
        <is>
          <t>CUST-436</t>
        </is>
      </c>
      <c r="D217" t="inlineStr">
        <is>
          <t>North</t>
        </is>
      </c>
      <c r="E217" t="inlineStr">
        <is>
          <t>Table</t>
        </is>
      </c>
      <c r="F217" t="inlineStr">
        <is>
          <t>Furniture</t>
        </is>
      </c>
      <c r="G217" t="n">
        <v>1</v>
      </c>
      <c r="H217" t="n">
        <v>150</v>
      </c>
      <c r="I217" t="n">
        <v>150</v>
      </c>
      <c r="J217">
        <f>TEXT(B217,"YYYY-MM")</f>
        <v/>
      </c>
      <c r="K217">
        <f>YEAR(B217)</f>
        <v/>
      </c>
    </row>
    <row r="218">
      <c r="A218" t="inlineStr">
        <is>
          <t>ORD-1217</t>
        </is>
      </c>
      <c r="B218" s="1" t="n">
        <v>45672</v>
      </c>
      <c r="C218" t="inlineStr">
        <is>
          <t>CUST-480</t>
        </is>
      </c>
      <c r="D218" t="inlineStr">
        <is>
          <t>North</t>
        </is>
      </c>
      <c r="E218" t="inlineStr">
        <is>
          <t>Blender</t>
        </is>
      </c>
      <c r="F218" t="inlineStr">
        <is>
          <t>Appliances</t>
        </is>
      </c>
      <c r="G218" t="n">
        <v>2</v>
      </c>
      <c r="H218" t="n">
        <v>80</v>
      </c>
      <c r="I218" t="n">
        <v>160</v>
      </c>
      <c r="J218">
        <f>TEXT(B218,"YYYY-MM")</f>
        <v/>
      </c>
      <c r="K218">
        <f>YEAR(B218)</f>
        <v/>
      </c>
    </row>
    <row r="219">
      <c r="A219" t="inlineStr">
        <is>
          <t>ORD-1218</t>
        </is>
      </c>
      <c r="B219" s="1" t="n">
        <v>45653</v>
      </c>
      <c r="C219" t="inlineStr">
        <is>
          <t>CUST-168</t>
        </is>
      </c>
      <c r="D219" t="inlineStr">
        <is>
          <t>North</t>
        </is>
      </c>
      <c r="E219" t="inlineStr">
        <is>
          <t>Laptop</t>
        </is>
      </c>
      <c r="F219" t="inlineStr">
        <is>
          <t>Electronics</t>
        </is>
      </c>
      <c r="G219" t="n">
        <v>8</v>
      </c>
      <c r="H219" t="n">
        <v>800</v>
      </c>
      <c r="I219" t="n">
        <v>6400</v>
      </c>
      <c r="J219">
        <f>TEXT(B219,"YYYY-MM")</f>
        <v/>
      </c>
      <c r="K219">
        <f>YEAR(B219)</f>
        <v/>
      </c>
    </row>
    <row r="220">
      <c r="A220" t="inlineStr">
        <is>
          <t>ORD-1219</t>
        </is>
      </c>
      <c r="B220" s="1" t="n">
        <v>45798</v>
      </c>
      <c r="C220" t="inlineStr">
        <is>
          <t>CUST-403</t>
        </is>
      </c>
      <c r="D220" t="inlineStr">
        <is>
          <t>North</t>
        </is>
      </c>
      <c r="E220" t="inlineStr">
        <is>
          <t>Table</t>
        </is>
      </c>
      <c r="F220" t="inlineStr">
        <is>
          <t>Furniture</t>
        </is>
      </c>
      <c r="G220" t="n">
        <v>6</v>
      </c>
      <c r="H220" t="n">
        <v>150</v>
      </c>
      <c r="I220" t="n">
        <v>900</v>
      </c>
      <c r="J220">
        <f>TEXT(B220,"YYYY-MM")</f>
        <v/>
      </c>
      <c r="K220">
        <f>YEAR(B220)</f>
        <v/>
      </c>
    </row>
    <row r="221">
      <c r="A221" t="inlineStr">
        <is>
          <t>ORD-1220</t>
        </is>
      </c>
      <c r="B221" s="1" t="n">
        <v>45794</v>
      </c>
      <c r="C221" t="inlineStr">
        <is>
          <t>CUST-422</t>
        </is>
      </c>
      <c r="D221" t="inlineStr">
        <is>
          <t>South</t>
        </is>
      </c>
      <c r="E221" t="inlineStr">
        <is>
          <t>Table</t>
        </is>
      </c>
      <c r="F221" t="inlineStr">
        <is>
          <t>Furniture</t>
        </is>
      </c>
      <c r="G221" t="n">
        <v>8</v>
      </c>
      <c r="H221" t="n">
        <v>150</v>
      </c>
      <c r="I221" t="n">
        <v>1200</v>
      </c>
      <c r="J221">
        <f>TEXT(B221,"YYYY-MM")</f>
        <v/>
      </c>
      <c r="K221">
        <f>YEAR(B221)</f>
        <v/>
      </c>
    </row>
    <row r="222">
      <c r="A222" t="inlineStr">
        <is>
          <t>ORD-1221</t>
        </is>
      </c>
      <c r="B222" s="1" t="n">
        <v>45532</v>
      </c>
      <c r="C222" t="inlineStr">
        <is>
          <t>CUST-247</t>
        </is>
      </c>
      <c r="D222" t="inlineStr">
        <is>
          <t>West</t>
        </is>
      </c>
      <c r="E222" t="inlineStr">
        <is>
          <t>Refrigerator</t>
        </is>
      </c>
      <c r="F222" t="inlineStr">
        <is>
          <t>Appliances</t>
        </is>
      </c>
      <c r="G222" t="n">
        <v>6</v>
      </c>
      <c r="H222" t="n">
        <v>600</v>
      </c>
      <c r="I222" t="n">
        <v>3600</v>
      </c>
      <c r="J222">
        <f>TEXT(B222,"YYYY-MM")</f>
        <v/>
      </c>
      <c r="K222">
        <f>YEAR(B222)</f>
        <v/>
      </c>
    </row>
    <row r="223">
      <c r="A223" t="inlineStr">
        <is>
          <t>ORD-1222</t>
        </is>
      </c>
      <c r="B223" s="1" t="n">
        <v>45342</v>
      </c>
      <c r="C223" t="inlineStr">
        <is>
          <t>CUST-492</t>
        </is>
      </c>
      <c r="D223" t="inlineStr">
        <is>
          <t>South</t>
        </is>
      </c>
      <c r="E223" t="inlineStr">
        <is>
          <t>Blender</t>
        </is>
      </c>
      <c r="F223" t="inlineStr">
        <is>
          <t>Appliances</t>
        </is>
      </c>
      <c r="G223" t="n">
        <v>3</v>
      </c>
      <c r="H223" t="n">
        <v>80</v>
      </c>
      <c r="I223" t="n">
        <v>240</v>
      </c>
      <c r="J223">
        <f>TEXT(B223,"YYYY-MM")</f>
        <v/>
      </c>
      <c r="K223">
        <f>YEAR(B223)</f>
        <v/>
      </c>
    </row>
    <row r="224">
      <c r="A224" t="inlineStr">
        <is>
          <t>ORD-1223</t>
        </is>
      </c>
      <c r="B224" s="1" t="n">
        <v>45594</v>
      </c>
      <c r="C224" t="inlineStr">
        <is>
          <t>CUST-463</t>
        </is>
      </c>
      <c r="D224" t="inlineStr">
        <is>
          <t>South</t>
        </is>
      </c>
      <c r="E224" t="inlineStr">
        <is>
          <t>Refrigerator</t>
        </is>
      </c>
      <c r="F224" t="inlineStr">
        <is>
          <t>Appliances</t>
        </is>
      </c>
      <c r="G224" t="n">
        <v>8</v>
      </c>
      <c r="H224" t="n">
        <v>600</v>
      </c>
      <c r="I224" t="n">
        <v>4800</v>
      </c>
      <c r="J224">
        <f>TEXT(B224,"YYYY-MM")</f>
        <v/>
      </c>
      <c r="K224">
        <f>YEAR(B224)</f>
        <v/>
      </c>
    </row>
    <row r="225">
      <c r="A225" t="inlineStr">
        <is>
          <t>ORD-1224</t>
        </is>
      </c>
      <c r="B225" s="1" t="n">
        <v>45422</v>
      </c>
      <c r="C225" t="inlineStr">
        <is>
          <t>CUST-317</t>
        </is>
      </c>
      <c r="D225" t="inlineStr">
        <is>
          <t>North</t>
        </is>
      </c>
      <c r="E225" t="inlineStr">
        <is>
          <t>Table</t>
        </is>
      </c>
      <c r="F225" t="inlineStr">
        <is>
          <t>Furniture</t>
        </is>
      </c>
      <c r="G225" t="n">
        <v>5</v>
      </c>
      <c r="H225" t="n">
        <v>150</v>
      </c>
      <c r="I225" t="n">
        <v>750</v>
      </c>
      <c r="J225">
        <f>TEXT(B225,"YYYY-MM")</f>
        <v/>
      </c>
      <c r="K225">
        <f>YEAR(B225)</f>
        <v/>
      </c>
    </row>
    <row r="226">
      <c r="A226" t="inlineStr">
        <is>
          <t>ORD-1225</t>
        </is>
      </c>
      <c r="B226" s="1" t="n">
        <v>45862</v>
      </c>
      <c r="C226" t="inlineStr">
        <is>
          <t>CUST-181</t>
        </is>
      </c>
      <c r="D226" t="inlineStr">
        <is>
          <t>South</t>
        </is>
      </c>
      <c r="E226" t="inlineStr">
        <is>
          <t>Blender</t>
        </is>
      </c>
      <c r="F226" t="inlineStr">
        <is>
          <t>Appliances</t>
        </is>
      </c>
      <c r="G226" t="n">
        <v>6</v>
      </c>
      <c r="H226" t="n">
        <v>80</v>
      </c>
      <c r="I226" t="n">
        <v>480</v>
      </c>
      <c r="J226">
        <f>TEXT(B226,"YYYY-MM")</f>
        <v/>
      </c>
      <c r="K226">
        <f>YEAR(B226)</f>
        <v/>
      </c>
    </row>
    <row r="227">
      <c r="A227" t="inlineStr">
        <is>
          <t>ORD-1226</t>
        </is>
      </c>
      <c r="B227" s="1" t="n">
        <v>45375</v>
      </c>
      <c r="C227" t="inlineStr">
        <is>
          <t>CUST-469</t>
        </is>
      </c>
      <c r="D227" t="inlineStr">
        <is>
          <t>West</t>
        </is>
      </c>
      <c r="E227" t="inlineStr">
        <is>
          <t>Laptop</t>
        </is>
      </c>
      <c r="F227" t="inlineStr">
        <is>
          <t>Electronics</t>
        </is>
      </c>
      <c r="G227" t="n">
        <v>1</v>
      </c>
      <c r="H227" t="n">
        <v>800</v>
      </c>
      <c r="I227" t="n">
        <v>800</v>
      </c>
      <c r="J227">
        <f>TEXT(B227,"YYYY-MM")</f>
        <v/>
      </c>
      <c r="K227">
        <f>YEAR(B227)</f>
        <v/>
      </c>
    </row>
    <row r="228">
      <c r="A228" t="inlineStr">
        <is>
          <t>ORD-1227</t>
        </is>
      </c>
      <c r="B228" s="1" t="n">
        <v>45577</v>
      </c>
      <c r="C228" t="inlineStr">
        <is>
          <t>CUST-474</t>
        </is>
      </c>
      <c r="D228" t="inlineStr">
        <is>
          <t>North</t>
        </is>
      </c>
      <c r="E228" t="inlineStr">
        <is>
          <t>Headphones</t>
        </is>
      </c>
      <c r="F228" t="inlineStr">
        <is>
          <t>Electronics</t>
        </is>
      </c>
      <c r="G228" t="n">
        <v>10</v>
      </c>
      <c r="H228" t="n">
        <v>50</v>
      </c>
      <c r="I228" t="n">
        <v>500</v>
      </c>
      <c r="J228">
        <f>TEXT(B228,"YYYY-MM")</f>
        <v/>
      </c>
      <c r="K228">
        <f>YEAR(B228)</f>
        <v/>
      </c>
    </row>
    <row r="229">
      <c r="A229" t="inlineStr">
        <is>
          <t>ORD-1228</t>
        </is>
      </c>
      <c r="B229" s="1" t="n">
        <v>45582</v>
      </c>
      <c r="C229" t="inlineStr">
        <is>
          <t>CUST-352</t>
        </is>
      </c>
      <c r="D229" t="inlineStr">
        <is>
          <t>North</t>
        </is>
      </c>
      <c r="E229" t="inlineStr">
        <is>
          <t>Sofa</t>
        </is>
      </c>
      <c r="F229" t="inlineStr">
        <is>
          <t>Furniture</t>
        </is>
      </c>
      <c r="G229" t="n">
        <v>8</v>
      </c>
      <c r="H229" t="n">
        <v>400</v>
      </c>
      <c r="I229" t="n">
        <v>3200</v>
      </c>
      <c r="J229">
        <f>TEXT(B229,"YYYY-MM")</f>
        <v/>
      </c>
      <c r="K229">
        <f>YEAR(B229)</f>
        <v/>
      </c>
    </row>
    <row r="230">
      <c r="A230" t="inlineStr">
        <is>
          <t>ORD-1229</t>
        </is>
      </c>
      <c r="B230" s="1" t="n">
        <v>45765</v>
      </c>
      <c r="C230" t="inlineStr">
        <is>
          <t>CUST-496</t>
        </is>
      </c>
      <c r="D230" t="inlineStr">
        <is>
          <t>East</t>
        </is>
      </c>
      <c r="E230" t="inlineStr">
        <is>
          <t>Sofa</t>
        </is>
      </c>
      <c r="F230" t="inlineStr">
        <is>
          <t>Furniture</t>
        </is>
      </c>
      <c r="G230" t="n">
        <v>1</v>
      </c>
      <c r="H230" t="n">
        <v>400</v>
      </c>
      <c r="I230" t="n">
        <v>400</v>
      </c>
      <c r="J230">
        <f>TEXT(B230,"YYYY-MM")</f>
        <v/>
      </c>
      <c r="K230">
        <f>YEAR(B230)</f>
        <v/>
      </c>
    </row>
    <row r="231">
      <c r="A231" t="inlineStr">
        <is>
          <t>ORD-1230</t>
        </is>
      </c>
      <c r="B231" s="1" t="n">
        <v>45341</v>
      </c>
      <c r="C231" t="inlineStr">
        <is>
          <t>CUST-314</t>
        </is>
      </c>
      <c r="D231" t="inlineStr">
        <is>
          <t>East</t>
        </is>
      </c>
      <c r="E231" t="inlineStr">
        <is>
          <t>Blender</t>
        </is>
      </c>
      <c r="F231" t="inlineStr">
        <is>
          <t>Appliances</t>
        </is>
      </c>
      <c r="G231" t="n">
        <v>3</v>
      </c>
      <c r="H231" t="n">
        <v>80</v>
      </c>
      <c r="I231" t="n">
        <v>240</v>
      </c>
      <c r="J231">
        <f>TEXT(B231,"YYYY-MM")</f>
        <v/>
      </c>
      <c r="K231">
        <f>YEAR(B231)</f>
        <v/>
      </c>
    </row>
    <row r="232">
      <c r="A232" t="inlineStr">
        <is>
          <t>ORD-1231</t>
        </is>
      </c>
      <c r="B232" s="1" t="n">
        <v>45865</v>
      </c>
      <c r="C232" t="inlineStr">
        <is>
          <t>CUST-417</t>
        </is>
      </c>
      <c r="D232" t="inlineStr">
        <is>
          <t>East</t>
        </is>
      </c>
      <c r="E232" t="inlineStr">
        <is>
          <t>Laptop</t>
        </is>
      </c>
      <c r="F232" t="inlineStr">
        <is>
          <t>Electronics</t>
        </is>
      </c>
      <c r="G232" t="n">
        <v>10</v>
      </c>
      <c r="H232" t="n">
        <v>800</v>
      </c>
      <c r="I232" t="n">
        <v>8000</v>
      </c>
      <c r="J232">
        <f>TEXT(B232,"YYYY-MM")</f>
        <v/>
      </c>
      <c r="K232">
        <f>YEAR(B232)</f>
        <v/>
      </c>
    </row>
    <row r="233">
      <c r="A233" t="inlineStr">
        <is>
          <t>ORD-1232</t>
        </is>
      </c>
      <c r="B233" s="1" t="n">
        <v>45340</v>
      </c>
      <c r="C233" t="inlineStr">
        <is>
          <t>CUST-269</t>
        </is>
      </c>
      <c r="D233" t="inlineStr">
        <is>
          <t>North</t>
        </is>
      </c>
      <c r="E233" t="inlineStr">
        <is>
          <t>Laptop</t>
        </is>
      </c>
      <c r="F233" t="inlineStr">
        <is>
          <t>Electronics</t>
        </is>
      </c>
      <c r="G233" t="n">
        <v>7</v>
      </c>
      <c r="H233" t="n">
        <v>800</v>
      </c>
      <c r="I233" t="n">
        <v>5600</v>
      </c>
      <c r="J233">
        <f>TEXT(B233,"YYYY-MM")</f>
        <v/>
      </c>
      <c r="K233">
        <f>YEAR(B233)</f>
        <v/>
      </c>
    </row>
    <row r="234">
      <c r="A234" t="inlineStr">
        <is>
          <t>ORD-1233</t>
        </is>
      </c>
      <c r="B234" s="1" t="n">
        <v>45386</v>
      </c>
      <c r="C234" t="inlineStr">
        <is>
          <t>CUST-230</t>
        </is>
      </c>
      <c r="D234" t="inlineStr">
        <is>
          <t>East</t>
        </is>
      </c>
      <c r="E234" t="inlineStr">
        <is>
          <t>Table</t>
        </is>
      </c>
      <c r="F234" t="inlineStr">
        <is>
          <t>Furniture</t>
        </is>
      </c>
      <c r="G234" t="n">
        <v>4</v>
      </c>
      <c r="H234" t="n">
        <v>150</v>
      </c>
      <c r="I234" t="n">
        <v>600</v>
      </c>
      <c r="J234">
        <f>TEXT(B234,"YYYY-MM")</f>
        <v/>
      </c>
      <c r="K234">
        <f>YEAR(B234)</f>
        <v/>
      </c>
    </row>
    <row r="235">
      <c r="A235" t="inlineStr">
        <is>
          <t>ORD-1234</t>
        </is>
      </c>
      <c r="B235" s="1" t="n">
        <v>45428</v>
      </c>
      <c r="C235" t="inlineStr">
        <is>
          <t>CUST-263</t>
        </is>
      </c>
      <c r="D235" t="inlineStr">
        <is>
          <t>South</t>
        </is>
      </c>
      <c r="E235" t="inlineStr">
        <is>
          <t>Sofa</t>
        </is>
      </c>
      <c r="F235" t="inlineStr">
        <is>
          <t>Furniture</t>
        </is>
      </c>
      <c r="G235" t="n">
        <v>4</v>
      </c>
      <c r="H235" t="n">
        <v>400</v>
      </c>
      <c r="I235" t="n">
        <v>1600</v>
      </c>
      <c r="J235">
        <f>TEXT(B235,"YYYY-MM")</f>
        <v/>
      </c>
      <c r="K235">
        <f>YEAR(B235)</f>
        <v/>
      </c>
    </row>
    <row r="236">
      <c r="A236" t="inlineStr">
        <is>
          <t>ORD-1235</t>
        </is>
      </c>
      <c r="B236" s="1" t="n">
        <v>45826</v>
      </c>
      <c r="C236" t="inlineStr">
        <is>
          <t>CUST-426</t>
        </is>
      </c>
      <c r="D236" t="inlineStr">
        <is>
          <t>South</t>
        </is>
      </c>
      <c r="E236" t="inlineStr">
        <is>
          <t>Table</t>
        </is>
      </c>
      <c r="F236" t="inlineStr">
        <is>
          <t>Furniture</t>
        </is>
      </c>
      <c r="G236" t="n">
        <v>10</v>
      </c>
      <c r="H236" t="n">
        <v>150</v>
      </c>
      <c r="I236" t="n">
        <v>1500</v>
      </c>
      <c r="J236">
        <f>TEXT(B236,"YYYY-MM")</f>
        <v/>
      </c>
      <c r="K236">
        <f>YEAR(B236)</f>
        <v/>
      </c>
    </row>
    <row r="237">
      <c r="A237" t="inlineStr">
        <is>
          <t>ORD-1236</t>
        </is>
      </c>
      <c r="B237" s="1" t="n">
        <v>45842</v>
      </c>
      <c r="C237" t="inlineStr">
        <is>
          <t>CUST-487</t>
        </is>
      </c>
      <c r="D237" t="inlineStr">
        <is>
          <t>East</t>
        </is>
      </c>
      <c r="E237" t="inlineStr">
        <is>
          <t>Refrigerator</t>
        </is>
      </c>
      <c r="F237" t="inlineStr">
        <is>
          <t>Appliances</t>
        </is>
      </c>
      <c r="G237" t="n">
        <v>1</v>
      </c>
      <c r="H237" t="n">
        <v>600</v>
      </c>
      <c r="I237" t="n">
        <v>600</v>
      </c>
      <c r="J237">
        <f>TEXT(B237,"YYYY-MM")</f>
        <v/>
      </c>
      <c r="K237">
        <f>YEAR(B237)</f>
        <v/>
      </c>
    </row>
    <row r="238">
      <c r="A238" t="inlineStr">
        <is>
          <t>ORD-1237</t>
        </is>
      </c>
      <c r="B238" s="1" t="n">
        <v>45952</v>
      </c>
      <c r="C238" t="inlineStr">
        <is>
          <t>CUST-105</t>
        </is>
      </c>
      <c r="D238" t="inlineStr">
        <is>
          <t>East</t>
        </is>
      </c>
      <c r="E238" t="inlineStr">
        <is>
          <t>Blender</t>
        </is>
      </c>
      <c r="F238" t="inlineStr">
        <is>
          <t>Appliances</t>
        </is>
      </c>
      <c r="G238" t="n">
        <v>5</v>
      </c>
      <c r="H238" t="n">
        <v>80</v>
      </c>
      <c r="I238" t="n">
        <v>400</v>
      </c>
      <c r="J238">
        <f>TEXT(B238,"YYYY-MM")</f>
        <v/>
      </c>
      <c r="K238">
        <f>YEAR(B238)</f>
        <v/>
      </c>
    </row>
    <row r="239">
      <c r="A239" t="inlineStr">
        <is>
          <t>ORD-1238</t>
        </is>
      </c>
      <c r="B239" s="1" t="n">
        <v>45537</v>
      </c>
      <c r="C239" t="inlineStr">
        <is>
          <t>CUST-295</t>
        </is>
      </c>
      <c r="D239" t="inlineStr">
        <is>
          <t>South</t>
        </is>
      </c>
      <c r="E239" t="inlineStr">
        <is>
          <t>Headphones</t>
        </is>
      </c>
      <c r="F239" t="inlineStr">
        <is>
          <t>Electronics</t>
        </is>
      </c>
      <c r="G239" t="n">
        <v>5</v>
      </c>
      <c r="H239" t="n">
        <v>50</v>
      </c>
      <c r="I239" t="n">
        <v>250</v>
      </c>
      <c r="J239">
        <f>TEXT(B239,"YYYY-MM")</f>
        <v/>
      </c>
      <c r="K239">
        <f>YEAR(B239)</f>
        <v/>
      </c>
    </row>
    <row r="240">
      <c r="A240" t="inlineStr">
        <is>
          <t>ORD-1239</t>
        </is>
      </c>
      <c r="B240" s="1" t="n">
        <v>45619</v>
      </c>
      <c r="C240" t="inlineStr">
        <is>
          <t>CUST-369</t>
        </is>
      </c>
      <c r="D240" t="inlineStr">
        <is>
          <t>West</t>
        </is>
      </c>
      <c r="E240" t="inlineStr">
        <is>
          <t>Table</t>
        </is>
      </c>
      <c r="F240" t="inlineStr">
        <is>
          <t>Furniture</t>
        </is>
      </c>
      <c r="G240" t="n">
        <v>8</v>
      </c>
      <c r="H240" t="n">
        <v>150</v>
      </c>
      <c r="I240" t="n">
        <v>1200</v>
      </c>
      <c r="J240">
        <f>TEXT(B240,"YYYY-MM")</f>
        <v/>
      </c>
      <c r="K240">
        <f>YEAR(B240)</f>
        <v/>
      </c>
    </row>
    <row r="241">
      <c r="A241" t="inlineStr">
        <is>
          <t>ORD-1240</t>
        </is>
      </c>
      <c r="B241" s="1" t="n">
        <v>45727</v>
      </c>
      <c r="C241" t="inlineStr">
        <is>
          <t>CUST-388</t>
        </is>
      </c>
      <c r="D241" t="inlineStr">
        <is>
          <t>East</t>
        </is>
      </c>
      <c r="E241" t="inlineStr">
        <is>
          <t>Sofa</t>
        </is>
      </c>
      <c r="F241" t="inlineStr">
        <is>
          <t>Furniture</t>
        </is>
      </c>
      <c r="G241" t="n">
        <v>2</v>
      </c>
      <c r="H241" t="n">
        <v>400</v>
      </c>
      <c r="I241" t="n">
        <v>800</v>
      </c>
      <c r="J241">
        <f>TEXT(B241,"YYYY-MM")</f>
        <v/>
      </c>
      <c r="K241">
        <f>YEAR(B241)</f>
        <v/>
      </c>
    </row>
    <row r="242">
      <c r="A242" t="inlineStr">
        <is>
          <t>ORD-1241</t>
        </is>
      </c>
      <c r="B242" s="1" t="n">
        <v>45716</v>
      </c>
      <c r="C242" t="inlineStr">
        <is>
          <t>CUST-187</t>
        </is>
      </c>
      <c r="D242" t="inlineStr">
        <is>
          <t>South</t>
        </is>
      </c>
      <c r="E242" t="inlineStr">
        <is>
          <t>Table</t>
        </is>
      </c>
      <c r="F242" t="inlineStr">
        <is>
          <t>Furniture</t>
        </is>
      </c>
      <c r="G242" t="n">
        <v>1</v>
      </c>
      <c r="H242" t="n">
        <v>150</v>
      </c>
      <c r="I242" t="n">
        <v>150</v>
      </c>
      <c r="J242">
        <f>TEXT(B242,"YYYY-MM")</f>
        <v/>
      </c>
      <c r="K242">
        <f>YEAR(B242)</f>
        <v/>
      </c>
    </row>
    <row r="243">
      <c r="A243" t="inlineStr">
        <is>
          <t>ORD-1242</t>
        </is>
      </c>
      <c r="B243" s="1" t="n">
        <v>45695</v>
      </c>
      <c r="C243" t="inlineStr">
        <is>
          <t>CUST-377</t>
        </is>
      </c>
      <c r="D243" t="inlineStr">
        <is>
          <t>North</t>
        </is>
      </c>
      <c r="E243" t="inlineStr">
        <is>
          <t>Table</t>
        </is>
      </c>
      <c r="F243" t="inlineStr">
        <is>
          <t>Furniture</t>
        </is>
      </c>
      <c r="G243" t="n">
        <v>2</v>
      </c>
      <c r="H243" t="n">
        <v>150</v>
      </c>
      <c r="I243" t="n">
        <v>300</v>
      </c>
      <c r="J243">
        <f>TEXT(B243,"YYYY-MM")</f>
        <v/>
      </c>
      <c r="K243">
        <f>YEAR(B243)</f>
        <v/>
      </c>
    </row>
    <row r="244">
      <c r="A244" t="inlineStr">
        <is>
          <t>ORD-1243</t>
        </is>
      </c>
      <c r="B244" s="1" t="n">
        <v>45887</v>
      </c>
      <c r="C244" t="inlineStr">
        <is>
          <t>CUST-123</t>
        </is>
      </c>
      <c r="D244" t="inlineStr">
        <is>
          <t>South</t>
        </is>
      </c>
      <c r="E244" t="inlineStr">
        <is>
          <t>Headphones</t>
        </is>
      </c>
      <c r="F244" t="inlineStr">
        <is>
          <t>Electronics</t>
        </is>
      </c>
      <c r="G244" t="n">
        <v>9</v>
      </c>
      <c r="H244" t="n">
        <v>50</v>
      </c>
      <c r="I244" t="n">
        <v>450</v>
      </c>
      <c r="J244">
        <f>TEXT(B244,"YYYY-MM")</f>
        <v/>
      </c>
      <c r="K244">
        <f>YEAR(B244)</f>
        <v/>
      </c>
    </row>
    <row r="245">
      <c r="A245" t="inlineStr">
        <is>
          <t>ORD-1244</t>
        </is>
      </c>
      <c r="B245" s="1" t="n">
        <v>45657</v>
      </c>
      <c r="C245" t="inlineStr">
        <is>
          <t>CUST-431</t>
        </is>
      </c>
      <c r="D245" t="inlineStr">
        <is>
          <t>North</t>
        </is>
      </c>
      <c r="E245" t="inlineStr">
        <is>
          <t>Headphones</t>
        </is>
      </c>
      <c r="F245" t="inlineStr">
        <is>
          <t>Electronics</t>
        </is>
      </c>
      <c r="G245" t="n">
        <v>9</v>
      </c>
      <c r="H245" t="n">
        <v>50</v>
      </c>
      <c r="I245" t="n">
        <v>450</v>
      </c>
      <c r="J245">
        <f>TEXT(B245,"YYYY-MM")</f>
        <v/>
      </c>
      <c r="K245">
        <f>YEAR(B245)</f>
        <v/>
      </c>
    </row>
    <row r="246">
      <c r="A246" t="inlineStr">
        <is>
          <t>ORD-1245</t>
        </is>
      </c>
      <c r="B246" s="1" t="n">
        <v>45698</v>
      </c>
      <c r="C246" t="inlineStr">
        <is>
          <t>CUST-145</t>
        </is>
      </c>
      <c r="D246" t="inlineStr">
        <is>
          <t>West</t>
        </is>
      </c>
      <c r="E246" t="inlineStr">
        <is>
          <t>Blender</t>
        </is>
      </c>
      <c r="F246" t="inlineStr">
        <is>
          <t>Appliances</t>
        </is>
      </c>
      <c r="G246" t="n">
        <v>7</v>
      </c>
      <c r="H246" t="n">
        <v>80</v>
      </c>
      <c r="I246" t="n">
        <v>560</v>
      </c>
      <c r="J246">
        <f>TEXT(B246,"YYYY-MM")</f>
        <v/>
      </c>
      <c r="K246">
        <f>YEAR(B246)</f>
        <v/>
      </c>
    </row>
    <row r="247">
      <c r="A247" t="inlineStr">
        <is>
          <t>ORD-1246</t>
        </is>
      </c>
      <c r="B247" s="1" t="n">
        <v>45686</v>
      </c>
      <c r="C247" t="inlineStr">
        <is>
          <t>CUST-298</t>
        </is>
      </c>
      <c r="D247" t="inlineStr">
        <is>
          <t>East</t>
        </is>
      </c>
      <c r="E247" t="inlineStr">
        <is>
          <t>Blender</t>
        </is>
      </c>
      <c r="F247" t="inlineStr">
        <is>
          <t>Appliances</t>
        </is>
      </c>
      <c r="G247" t="n">
        <v>6</v>
      </c>
      <c r="H247" t="n">
        <v>80</v>
      </c>
      <c r="I247" t="n">
        <v>480</v>
      </c>
      <c r="J247">
        <f>TEXT(B247,"YYYY-MM")</f>
        <v/>
      </c>
      <c r="K247">
        <f>YEAR(B247)</f>
        <v/>
      </c>
    </row>
    <row r="248">
      <c r="A248" t="inlineStr">
        <is>
          <t>ORD-1247</t>
        </is>
      </c>
      <c r="B248" s="1" t="n">
        <v>45440</v>
      </c>
      <c r="C248" t="inlineStr">
        <is>
          <t>CUST-363</t>
        </is>
      </c>
      <c r="D248" t="inlineStr">
        <is>
          <t>North</t>
        </is>
      </c>
      <c r="E248" t="inlineStr">
        <is>
          <t>Laptop</t>
        </is>
      </c>
      <c r="F248" t="inlineStr">
        <is>
          <t>Electronics</t>
        </is>
      </c>
      <c r="G248" t="n">
        <v>5</v>
      </c>
      <c r="H248" t="n">
        <v>800</v>
      </c>
      <c r="I248" t="n">
        <v>4000</v>
      </c>
      <c r="J248">
        <f>TEXT(B248,"YYYY-MM")</f>
        <v/>
      </c>
      <c r="K248">
        <f>YEAR(B248)</f>
        <v/>
      </c>
    </row>
    <row r="249">
      <c r="A249" t="inlineStr">
        <is>
          <t>ORD-1248</t>
        </is>
      </c>
      <c r="B249" s="1" t="n">
        <v>45864</v>
      </c>
      <c r="C249" t="inlineStr">
        <is>
          <t>CUST-361</t>
        </is>
      </c>
      <c r="D249" t="inlineStr">
        <is>
          <t>South</t>
        </is>
      </c>
      <c r="E249" t="inlineStr">
        <is>
          <t>Laptop</t>
        </is>
      </c>
      <c r="F249" t="inlineStr">
        <is>
          <t>Electronics</t>
        </is>
      </c>
      <c r="G249" t="n">
        <v>5</v>
      </c>
      <c r="H249" t="n">
        <v>800</v>
      </c>
      <c r="I249" t="n">
        <v>4000</v>
      </c>
      <c r="J249">
        <f>TEXT(B249,"YYYY-MM")</f>
        <v/>
      </c>
      <c r="K249">
        <f>YEAR(B249)</f>
        <v/>
      </c>
    </row>
    <row r="250">
      <c r="A250" t="inlineStr">
        <is>
          <t>ORD-1249</t>
        </is>
      </c>
      <c r="B250" s="1" t="n">
        <v>45847</v>
      </c>
      <c r="C250" t="inlineStr">
        <is>
          <t>CUST-163</t>
        </is>
      </c>
      <c r="D250" t="inlineStr">
        <is>
          <t>East</t>
        </is>
      </c>
      <c r="E250" t="inlineStr">
        <is>
          <t>Sofa</t>
        </is>
      </c>
      <c r="F250" t="inlineStr">
        <is>
          <t>Furniture</t>
        </is>
      </c>
      <c r="G250" t="n">
        <v>6</v>
      </c>
      <c r="H250" t="n">
        <v>400</v>
      </c>
      <c r="I250" t="n">
        <v>2400</v>
      </c>
      <c r="J250">
        <f>TEXT(B250,"YYYY-MM")</f>
        <v/>
      </c>
      <c r="K250">
        <f>YEAR(B250)</f>
        <v/>
      </c>
    </row>
    <row r="251">
      <c r="A251" t="inlineStr">
        <is>
          <t>ORD-1250</t>
        </is>
      </c>
      <c r="B251" s="1" t="n">
        <v>45810</v>
      </c>
      <c r="C251" t="inlineStr">
        <is>
          <t>CUST-388</t>
        </is>
      </c>
      <c r="D251" t="inlineStr">
        <is>
          <t>North</t>
        </is>
      </c>
      <c r="E251" t="inlineStr">
        <is>
          <t>Table</t>
        </is>
      </c>
      <c r="F251" t="inlineStr">
        <is>
          <t>Furniture</t>
        </is>
      </c>
      <c r="G251" t="n">
        <v>8</v>
      </c>
      <c r="H251" t="n">
        <v>150</v>
      </c>
      <c r="I251" t="n">
        <v>1200</v>
      </c>
      <c r="J251">
        <f>TEXT(B251,"YYYY-MM")</f>
        <v/>
      </c>
      <c r="K251">
        <f>YEAR(B251)</f>
        <v/>
      </c>
    </row>
    <row r="252">
      <c r="A252" t="inlineStr">
        <is>
          <t>ORD-1251</t>
        </is>
      </c>
      <c r="B252" s="1" t="n">
        <v>45304</v>
      </c>
      <c r="C252" t="inlineStr">
        <is>
          <t>CUST-476</t>
        </is>
      </c>
      <c r="D252" t="inlineStr">
        <is>
          <t>West</t>
        </is>
      </c>
      <c r="E252" t="inlineStr">
        <is>
          <t>Sofa</t>
        </is>
      </c>
      <c r="F252" t="inlineStr">
        <is>
          <t>Furniture</t>
        </is>
      </c>
      <c r="G252" t="n">
        <v>4</v>
      </c>
      <c r="H252" t="n">
        <v>400</v>
      </c>
      <c r="I252" t="n">
        <v>1600</v>
      </c>
      <c r="J252">
        <f>TEXT(B252,"YYYY-MM")</f>
        <v/>
      </c>
      <c r="K252">
        <f>YEAR(B252)</f>
        <v/>
      </c>
    </row>
    <row r="253">
      <c r="A253" t="inlineStr">
        <is>
          <t>ORD-1252</t>
        </is>
      </c>
      <c r="B253" s="1" t="n">
        <v>45487</v>
      </c>
      <c r="C253" t="inlineStr">
        <is>
          <t>CUST-311</t>
        </is>
      </c>
      <c r="D253" t="inlineStr">
        <is>
          <t>West</t>
        </is>
      </c>
      <c r="E253" t="inlineStr">
        <is>
          <t>Blender</t>
        </is>
      </c>
      <c r="F253" t="inlineStr">
        <is>
          <t>Appliances</t>
        </is>
      </c>
      <c r="G253" t="n">
        <v>7</v>
      </c>
      <c r="H253" t="n">
        <v>80</v>
      </c>
      <c r="I253" t="n">
        <v>560</v>
      </c>
      <c r="J253">
        <f>TEXT(B253,"YYYY-MM")</f>
        <v/>
      </c>
      <c r="K253">
        <f>YEAR(B253)</f>
        <v/>
      </c>
    </row>
    <row r="254">
      <c r="A254" t="inlineStr">
        <is>
          <t>ORD-1253</t>
        </is>
      </c>
      <c r="B254" s="1" t="n">
        <v>45372</v>
      </c>
      <c r="C254" t="inlineStr">
        <is>
          <t>CUST-104</t>
        </is>
      </c>
      <c r="D254" t="inlineStr">
        <is>
          <t>South</t>
        </is>
      </c>
      <c r="E254" t="inlineStr">
        <is>
          <t>Refrigerator</t>
        </is>
      </c>
      <c r="F254" t="inlineStr">
        <is>
          <t>Appliances</t>
        </is>
      </c>
      <c r="G254" t="n">
        <v>10</v>
      </c>
      <c r="H254" t="n">
        <v>600</v>
      </c>
      <c r="I254" t="n">
        <v>6000</v>
      </c>
      <c r="J254">
        <f>TEXT(B254,"YYYY-MM")</f>
        <v/>
      </c>
      <c r="K254">
        <f>YEAR(B254)</f>
        <v/>
      </c>
    </row>
    <row r="255">
      <c r="A255" t="inlineStr">
        <is>
          <t>ORD-1254</t>
        </is>
      </c>
      <c r="B255" s="1" t="n">
        <v>45760</v>
      </c>
      <c r="C255" t="inlineStr">
        <is>
          <t>CUST-336</t>
        </is>
      </c>
      <c r="D255" t="inlineStr">
        <is>
          <t>West</t>
        </is>
      </c>
      <c r="E255" t="inlineStr">
        <is>
          <t>Laptop</t>
        </is>
      </c>
      <c r="F255" t="inlineStr">
        <is>
          <t>Electronics</t>
        </is>
      </c>
      <c r="G255" t="n">
        <v>10</v>
      </c>
      <c r="H255" t="n">
        <v>800</v>
      </c>
      <c r="I255" t="n">
        <v>8000</v>
      </c>
      <c r="J255">
        <f>TEXT(B255,"YYYY-MM")</f>
        <v/>
      </c>
      <c r="K255">
        <f>YEAR(B255)</f>
        <v/>
      </c>
    </row>
    <row r="256">
      <c r="A256" t="inlineStr">
        <is>
          <t>ORD-1255</t>
        </is>
      </c>
      <c r="B256" s="1" t="n">
        <v>45720</v>
      </c>
      <c r="C256" t="inlineStr">
        <is>
          <t>CUST-237</t>
        </is>
      </c>
      <c r="D256" t="inlineStr">
        <is>
          <t>West</t>
        </is>
      </c>
      <c r="E256" t="inlineStr">
        <is>
          <t>Laptop</t>
        </is>
      </c>
      <c r="F256" t="inlineStr">
        <is>
          <t>Electronics</t>
        </is>
      </c>
      <c r="G256" t="n">
        <v>2</v>
      </c>
      <c r="H256" t="n">
        <v>800</v>
      </c>
      <c r="I256" t="n">
        <v>1600</v>
      </c>
      <c r="J256">
        <f>TEXT(B256,"YYYY-MM")</f>
        <v/>
      </c>
      <c r="K256">
        <f>YEAR(B256)</f>
        <v/>
      </c>
    </row>
    <row r="257">
      <c r="A257" t="inlineStr">
        <is>
          <t>ORD-1256</t>
        </is>
      </c>
      <c r="B257" s="1" t="n">
        <v>45897</v>
      </c>
      <c r="C257" t="inlineStr">
        <is>
          <t>CUST-377</t>
        </is>
      </c>
      <c r="D257" t="inlineStr">
        <is>
          <t>East</t>
        </is>
      </c>
      <c r="E257" t="inlineStr">
        <is>
          <t>Laptop</t>
        </is>
      </c>
      <c r="F257" t="inlineStr">
        <is>
          <t>Electronics</t>
        </is>
      </c>
      <c r="G257" t="n">
        <v>9</v>
      </c>
      <c r="H257" t="n">
        <v>800</v>
      </c>
      <c r="I257" t="n">
        <v>7200</v>
      </c>
      <c r="J257">
        <f>TEXT(B257,"YYYY-MM")</f>
        <v/>
      </c>
      <c r="K257">
        <f>YEAR(B257)</f>
        <v/>
      </c>
    </row>
    <row r="258">
      <c r="A258" t="inlineStr">
        <is>
          <t>ORD-1257</t>
        </is>
      </c>
      <c r="B258" s="1" t="n">
        <v>45334</v>
      </c>
      <c r="C258" t="inlineStr">
        <is>
          <t>CUST-208</t>
        </is>
      </c>
      <c r="D258" t="inlineStr">
        <is>
          <t>West</t>
        </is>
      </c>
      <c r="E258" t="inlineStr">
        <is>
          <t>Sofa</t>
        </is>
      </c>
      <c r="F258" t="inlineStr">
        <is>
          <t>Furniture</t>
        </is>
      </c>
      <c r="G258" t="n">
        <v>4</v>
      </c>
      <c r="H258" t="n">
        <v>400</v>
      </c>
      <c r="I258" t="n">
        <v>1600</v>
      </c>
      <c r="J258">
        <f>TEXT(B258,"YYYY-MM")</f>
        <v/>
      </c>
      <c r="K258">
        <f>YEAR(B258)</f>
        <v/>
      </c>
    </row>
    <row r="259">
      <c r="A259" t="inlineStr">
        <is>
          <t>ORD-1258</t>
        </is>
      </c>
      <c r="B259" s="1" t="n">
        <v>45339</v>
      </c>
      <c r="C259" t="inlineStr">
        <is>
          <t>CUST-297</t>
        </is>
      </c>
      <c r="D259" t="inlineStr">
        <is>
          <t>West</t>
        </is>
      </c>
      <c r="E259" t="inlineStr">
        <is>
          <t>Headphones</t>
        </is>
      </c>
      <c r="F259" t="inlineStr">
        <is>
          <t>Electronics</t>
        </is>
      </c>
      <c r="G259" t="n">
        <v>8</v>
      </c>
      <c r="H259" t="n">
        <v>50</v>
      </c>
      <c r="I259" t="n">
        <v>400</v>
      </c>
      <c r="J259">
        <f>TEXT(B259,"YYYY-MM")</f>
        <v/>
      </c>
      <c r="K259">
        <f>YEAR(B259)</f>
        <v/>
      </c>
    </row>
    <row r="260">
      <c r="A260" t="inlineStr">
        <is>
          <t>ORD-1259</t>
        </is>
      </c>
      <c r="B260" s="1" t="n">
        <v>45827</v>
      </c>
      <c r="C260" t="inlineStr">
        <is>
          <t>CUST-113</t>
        </is>
      </c>
      <c r="D260" t="inlineStr">
        <is>
          <t>East</t>
        </is>
      </c>
      <c r="E260" t="inlineStr">
        <is>
          <t>Blender</t>
        </is>
      </c>
      <c r="F260" t="inlineStr">
        <is>
          <t>Appliances</t>
        </is>
      </c>
      <c r="G260" t="n">
        <v>7</v>
      </c>
      <c r="H260" t="n">
        <v>80</v>
      </c>
      <c r="I260" t="n">
        <v>560</v>
      </c>
      <c r="J260">
        <f>TEXT(B260,"YYYY-MM")</f>
        <v/>
      </c>
      <c r="K260">
        <f>YEAR(B260)</f>
        <v/>
      </c>
    </row>
    <row r="261">
      <c r="A261" t="inlineStr">
        <is>
          <t>ORD-1260</t>
        </is>
      </c>
      <c r="B261" s="1" t="n">
        <v>45627</v>
      </c>
      <c r="C261" t="inlineStr">
        <is>
          <t>CUST-133</t>
        </is>
      </c>
      <c r="D261" t="inlineStr">
        <is>
          <t>North</t>
        </is>
      </c>
      <c r="E261" t="inlineStr">
        <is>
          <t>Blender</t>
        </is>
      </c>
      <c r="F261" t="inlineStr">
        <is>
          <t>Appliances</t>
        </is>
      </c>
      <c r="G261" t="n">
        <v>7</v>
      </c>
      <c r="H261" t="n">
        <v>80</v>
      </c>
      <c r="I261" t="n">
        <v>560</v>
      </c>
      <c r="J261">
        <f>TEXT(B261,"YYYY-MM")</f>
        <v/>
      </c>
      <c r="K261">
        <f>YEAR(B261)</f>
        <v/>
      </c>
    </row>
    <row r="262">
      <c r="A262" t="inlineStr">
        <is>
          <t>ORD-1261</t>
        </is>
      </c>
      <c r="B262" s="1" t="n">
        <v>45690</v>
      </c>
      <c r="C262" t="inlineStr">
        <is>
          <t>CUST-436</t>
        </is>
      </c>
      <c r="D262" t="inlineStr">
        <is>
          <t>South</t>
        </is>
      </c>
      <c r="E262" t="inlineStr">
        <is>
          <t>Blender</t>
        </is>
      </c>
      <c r="F262" t="inlineStr">
        <is>
          <t>Appliances</t>
        </is>
      </c>
      <c r="G262" t="n">
        <v>4</v>
      </c>
      <c r="H262" t="n">
        <v>80</v>
      </c>
      <c r="I262" t="n">
        <v>320</v>
      </c>
      <c r="J262">
        <f>TEXT(B262,"YYYY-MM")</f>
        <v/>
      </c>
      <c r="K262">
        <f>YEAR(B262)</f>
        <v/>
      </c>
    </row>
    <row r="263">
      <c r="A263" t="inlineStr">
        <is>
          <t>ORD-1262</t>
        </is>
      </c>
      <c r="B263" s="1" t="n">
        <v>45747</v>
      </c>
      <c r="C263" t="inlineStr">
        <is>
          <t>CUST-434</t>
        </is>
      </c>
      <c r="D263" t="inlineStr">
        <is>
          <t>East</t>
        </is>
      </c>
      <c r="E263" t="inlineStr">
        <is>
          <t>Blender</t>
        </is>
      </c>
      <c r="F263" t="inlineStr">
        <is>
          <t>Appliances</t>
        </is>
      </c>
      <c r="G263" t="n">
        <v>7</v>
      </c>
      <c r="H263" t="n">
        <v>80</v>
      </c>
      <c r="I263" t="n">
        <v>560</v>
      </c>
      <c r="J263">
        <f>TEXT(B263,"YYYY-MM")</f>
        <v/>
      </c>
      <c r="K263">
        <f>YEAR(B263)</f>
        <v/>
      </c>
    </row>
    <row r="264">
      <c r="A264" t="inlineStr">
        <is>
          <t>ORD-1263</t>
        </is>
      </c>
      <c r="B264" s="1" t="n">
        <v>45936</v>
      </c>
      <c r="C264" t="inlineStr">
        <is>
          <t>CUST-273</t>
        </is>
      </c>
      <c r="D264" t="inlineStr">
        <is>
          <t>West</t>
        </is>
      </c>
      <c r="E264" t="inlineStr">
        <is>
          <t>Laptop</t>
        </is>
      </c>
      <c r="F264" t="inlineStr">
        <is>
          <t>Electronics</t>
        </is>
      </c>
      <c r="G264" t="n">
        <v>6</v>
      </c>
      <c r="H264" t="n">
        <v>800</v>
      </c>
      <c r="I264" t="n">
        <v>4800</v>
      </c>
      <c r="J264">
        <f>TEXT(B264,"YYYY-MM")</f>
        <v/>
      </c>
      <c r="K264">
        <f>YEAR(B264)</f>
        <v/>
      </c>
    </row>
    <row r="265">
      <c r="A265" t="inlineStr">
        <is>
          <t>ORD-1264</t>
        </is>
      </c>
      <c r="B265" s="1" t="n">
        <v>45463</v>
      </c>
      <c r="C265" t="inlineStr">
        <is>
          <t>CUST-418</t>
        </is>
      </c>
      <c r="D265" t="inlineStr">
        <is>
          <t>South</t>
        </is>
      </c>
      <c r="E265" t="inlineStr">
        <is>
          <t>Headphones</t>
        </is>
      </c>
      <c r="F265" t="inlineStr">
        <is>
          <t>Electronics</t>
        </is>
      </c>
      <c r="G265" t="n">
        <v>10</v>
      </c>
      <c r="H265" t="n">
        <v>50</v>
      </c>
      <c r="I265" t="n">
        <v>500</v>
      </c>
      <c r="J265">
        <f>TEXT(B265,"YYYY-MM")</f>
        <v/>
      </c>
      <c r="K265">
        <f>YEAR(B265)</f>
        <v/>
      </c>
    </row>
    <row r="266">
      <c r="A266" t="inlineStr">
        <is>
          <t>ORD-1265</t>
        </is>
      </c>
      <c r="B266" s="1" t="n">
        <v>45378</v>
      </c>
      <c r="C266" t="inlineStr">
        <is>
          <t>CUST-400</t>
        </is>
      </c>
      <c r="D266" t="inlineStr">
        <is>
          <t>East</t>
        </is>
      </c>
      <c r="E266" t="inlineStr">
        <is>
          <t>Headphones</t>
        </is>
      </c>
      <c r="F266" t="inlineStr">
        <is>
          <t>Electronics</t>
        </is>
      </c>
      <c r="G266" t="n">
        <v>6</v>
      </c>
      <c r="H266" t="n">
        <v>50</v>
      </c>
      <c r="I266" t="n">
        <v>300</v>
      </c>
      <c r="J266">
        <f>TEXT(B266,"YYYY-MM")</f>
        <v/>
      </c>
      <c r="K266">
        <f>YEAR(B266)</f>
        <v/>
      </c>
    </row>
    <row r="267">
      <c r="A267" t="inlineStr">
        <is>
          <t>ORD-1266</t>
        </is>
      </c>
      <c r="B267" s="1" t="n">
        <v>45632</v>
      </c>
      <c r="C267" t="inlineStr">
        <is>
          <t>CUST-467</t>
        </is>
      </c>
      <c r="D267" t="inlineStr">
        <is>
          <t>North</t>
        </is>
      </c>
      <c r="E267" t="inlineStr">
        <is>
          <t>Laptop</t>
        </is>
      </c>
      <c r="F267" t="inlineStr">
        <is>
          <t>Electronics</t>
        </is>
      </c>
      <c r="G267" t="n">
        <v>10</v>
      </c>
      <c r="H267" t="n">
        <v>800</v>
      </c>
      <c r="I267" t="n">
        <v>8000</v>
      </c>
      <c r="J267">
        <f>TEXT(B267,"YYYY-MM")</f>
        <v/>
      </c>
      <c r="K267">
        <f>YEAR(B267)</f>
        <v/>
      </c>
    </row>
    <row r="268">
      <c r="A268" t="inlineStr">
        <is>
          <t>ORD-1267</t>
        </is>
      </c>
      <c r="B268" s="1" t="n">
        <v>45663</v>
      </c>
      <c r="C268" t="inlineStr">
        <is>
          <t>CUST-243</t>
        </is>
      </c>
      <c r="D268" t="inlineStr">
        <is>
          <t>South</t>
        </is>
      </c>
      <c r="E268" t="inlineStr">
        <is>
          <t>Laptop</t>
        </is>
      </c>
      <c r="F268" t="inlineStr">
        <is>
          <t>Electronics</t>
        </is>
      </c>
      <c r="G268" t="n">
        <v>6</v>
      </c>
      <c r="H268" t="n">
        <v>800</v>
      </c>
      <c r="I268" t="n">
        <v>4800</v>
      </c>
      <c r="J268">
        <f>TEXT(B268,"YYYY-MM")</f>
        <v/>
      </c>
      <c r="K268">
        <f>YEAR(B268)</f>
        <v/>
      </c>
    </row>
    <row r="269">
      <c r="A269" t="inlineStr">
        <is>
          <t>ORD-1268</t>
        </is>
      </c>
      <c r="B269" s="1" t="n">
        <v>45458</v>
      </c>
      <c r="C269" t="inlineStr">
        <is>
          <t>CUST-141</t>
        </is>
      </c>
      <c r="D269" t="inlineStr">
        <is>
          <t>North</t>
        </is>
      </c>
      <c r="E269" t="inlineStr">
        <is>
          <t>Refrigerator</t>
        </is>
      </c>
      <c r="F269" t="inlineStr">
        <is>
          <t>Appliances</t>
        </is>
      </c>
      <c r="G269" t="n">
        <v>5</v>
      </c>
      <c r="H269" t="n">
        <v>600</v>
      </c>
      <c r="I269" t="n">
        <v>3000</v>
      </c>
      <c r="J269">
        <f>TEXT(B269,"YYYY-MM")</f>
        <v/>
      </c>
      <c r="K269">
        <f>YEAR(B269)</f>
        <v/>
      </c>
    </row>
    <row r="270">
      <c r="A270" t="inlineStr">
        <is>
          <t>ORD-1269</t>
        </is>
      </c>
      <c r="B270" s="1" t="n">
        <v>45867</v>
      </c>
      <c r="C270" t="inlineStr">
        <is>
          <t>CUST-248</t>
        </is>
      </c>
      <c r="D270" t="inlineStr">
        <is>
          <t>East</t>
        </is>
      </c>
      <c r="E270" t="inlineStr">
        <is>
          <t>Headphones</t>
        </is>
      </c>
      <c r="F270" t="inlineStr">
        <is>
          <t>Electronics</t>
        </is>
      </c>
      <c r="G270" t="n">
        <v>8</v>
      </c>
      <c r="H270" t="n">
        <v>50</v>
      </c>
      <c r="I270" t="n">
        <v>400</v>
      </c>
      <c r="J270">
        <f>TEXT(B270,"YYYY-MM")</f>
        <v/>
      </c>
      <c r="K270">
        <f>YEAR(B270)</f>
        <v/>
      </c>
    </row>
    <row r="271">
      <c r="A271" t="inlineStr">
        <is>
          <t>ORD-1270</t>
        </is>
      </c>
      <c r="B271" s="1" t="n">
        <v>45841</v>
      </c>
      <c r="C271" t="inlineStr">
        <is>
          <t>CUST-298</t>
        </is>
      </c>
      <c r="D271" t="inlineStr">
        <is>
          <t>West</t>
        </is>
      </c>
      <c r="E271" t="inlineStr">
        <is>
          <t>Table</t>
        </is>
      </c>
      <c r="F271" t="inlineStr">
        <is>
          <t>Furniture</t>
        </is>
      </c>
      <c r="G271" t="n">
        <v>2</v>
      </c>
      <c r="H271" t="n">
        <v>150</v>
      </c>
      <c r="I271" t="n">
        <v>300</v>
      </c>
      <c r="J271">
        <f>TEXT(B271,"YYYY-MM")</f>
        <v/>
      </c>
      <c r="K271">
        <f>YEAR(B271)</f>
        <v/>
      </c>
    </row>
    <row r="272">
      <c r="A272" t="inlineStr">
        <is>
          <t>ORD-1271</t>
        </is>
      </c>
      <c r="B272" s="1" t="n">
        <v>45325</v>
      </c>
      <c r="C272" t="inlineStr">
        <is>
          <t>CUST-214</t>
        </is>
      </c>
      <c r="D272" t="inlineStr">
        <is>
          <t>South</t>
        </is>
      </c>
      <c r="E272" t="inlineStr">
        <is>
          <t>Blender</t>
        </is>
      </c>
      <c r="F272" t="inlineStr">
        <is>
          <t>Appliances</t>
        </is>
      </c>
      <c r="G272" t="n">
        <v>5</v>
      </c>
      <c r="H272" t="n">
        <v>80</v>
      </c>
      <c r="I272" t="n">
        <v>400</v>
      </c>
      <c r="J272">
        <f>TEXT(B272,"YYYY-MM")</f>
        <v/>
      </c>
      <c r="K272">
        <f>YEAR(B272)</f>
        <v/>
      </c>
    </row>
    <row r="273">
      <c r="A273" t="inlineStr">
        <is>
          <t>ORD-1272</t>
        </is>
      </c>
      <c r="B273" s="1" t="n">
        <v>45746</v>
      </c>
      <c r="C273" t="inlineStr">
        <is>
          <t>CUST-338</t>
        </is>
      </c>
      <c r="D273" t="inlineStr">
        <is>
          <t>West</t>
        </is>
      </c>
      <c r="E273" t="inlineStr">
        <is>
          <t>Headphones</t>
        </is>
      </c>
      <c r="F273" t="inlineStr">
        <is>
          <t>Electronics</t>
        </is>
      </c>
      <c r="G273" t="n">
        <v>10</v>
      </c>
      <c r="H273" t="n">
        <v>50</v>
      </c>
      <c r="I273" t="n">
        <v>500</v>
      </c>
      <c r="J273">
        <f>TEXT(B273,"YYYY-MM")</f>
        <v/>
      </c>
      <c r="K273">
        <f>YEAR(B273)</f>
        <v/>
      </c>
    </row>
    <row r="274">
      <c r="A274" t="inlineStr">
        <is>
          <t>ORD-1273</t>
        </is>
      </c>
      <c r="B274" s="1" t="n">
        <v>45883</v>
      </c>
      <c r="C274" t="inlineStr">
        <is>
          <t>CUST-142</t>
        </is>
      </c>
      <c r="D274" t="inlineStr">
        <is>
          <t>East</t>
        </is>
      </c>
      <c r="E274" t="inlineStr">
        <is>
          <t>Headphones</t>
        </is>
      </c>
      <c r="F274" t="inlineStr">
        <is>
          <t>Electronics</t>
        </is>
      </c>
      <c r="G274" t="n">
        <v>6</v>
      </c>
      <c r="H274" t="n">
        <v>50</v>
      </c>
      <c r="I274" t="n">
        <v>300</v>
      </c>
      <c r="J274">
        <f>TEXT(B274,"YYYY-MM")</f>
        <v/>
      </c>
      <c r="K274">
        <f>YEAR(B274)</f>
        <v/>
      </c>
    </row>
    <row r="275">
      <c r="A275" t="inlineStr">
        <is>
          <t>ORD-1274</t>
        </is>
      </c>
      <c r="B275" s="1" t="n">
        <v>45298</v>
      </c>
      <c r="C275" t="inlineStr">
        <is>
          <t>CUST-172</t>
        </is>
      </c>
      <c r="D275" t="inlineStr">
        <is>
          <t>North</t>
        </is>
      </c>
      <c r="E275" t="inlineStr">
        <is>
          <t>Refrigerator</t>
        </is>
      </c>
      <c r="F275" t="inlineStr">
        <is>
          <t>Appliances</t>
        </is>
      </c>
      <c r="G275" t="n">
        <v>2</v>
      </c>
      <c r="H275" t="n">
        <v>600</v>
      </c>
      <c r="I275" t="n">
        <v>1200</v>
      </c>
      <c r="J275">
        <f>TEXT(B275,"YYYY-MM")</f>
        <v/>
      </c>
      <c r="K275">
        <f>YEAR(B275)</f>
        <v/>
      </c>
    </row>
    <row r="276">
      <c r="A276" t="inlineStr">
        <is>
          <t>ORD-1275</t>
        </is>
      </c>
      <c r="B276" s="1" t="n">
        <v>45350</v>
      </c>
      <c r="C276" t="inlineStr">
        <is>
          <t>CUST-413</t>
        </is>
      </c>
      <c r="D276" t="inlineStr">
        <is>
          <t>West</t>
        </is>
      </c>
      <c r="E276" t="inlineStr">
        <is>
          <t>Sofa</t>
        </is>
      </c>
      <c r="F276" t="inlineStr">
        <is>
          <t>Furniture</t>
        </is>
      </c>
      <c r="G276" t="n">
        <v>7</v>
      </c>
      <c r="H276" t="n">
        <v>400</v>
      </c>
      <c r="I276" t="n">
        <v>2800</v>
      </c>
      <c r="J276">
        <f>TEXT(B276,"YYYY-MM")</f>
        <v/>
      </c>
      <c r="K276">
        <f>YEAR(B276)</f>
        <v/>
      </c>
    </row>
    <row r="277">
      <c r="A277" t="inlineStr">
        <is>
          <t>ORD-1276</t>
        </is>
      </c>
      <c r="B277" s="1" t="n">
        <v>45294</v>
      </c>
      <c r="C277" t="inlineStr">
        <is>
          <t>CUST-229</t>
        </is>
      </c>
      <c r="D277" t="inlineStr">
        <is>
          <t>North</t>
        </is>
      </c>
      <c r="E277" t="inlineStr">
        <is>
          <t>Sofa</t>
        </is>
      </c>
      <c r="F277" t="inlineStr">
        <is>
          <t>Furniture</t>
        </is>
      </c>
      <c r="G277" t="n">
        <v>2</v>
      </c>
      <c r="H277" t="n">
        <v>400</v>
      </c>
      <c r="I277" t="n">
        <v>800</v>
      </c>
      <c r="J277">
        <f>TEXT(B277,"YYYY-MM")</f>
        <v/>
      </c>
      <c r="K277">
        <f>YEAR(B277)</f>
        <v/>
      </c>
    </row>
    <row r="278">
      <c r="A278" t="inlineStr">
        <is>
          <t>ORD-1277</t>
        </is>
      </c>
      <c r="B278" s="1" t="n">
        <v>45525</v>
      </c>
      <c r="C278" t="inlineStr">
        <is>
          <t>CUST-274</t>
        </is>
      </c>
      <c r="D278" t="inlineStr">
        <is>
          <t>East</t>
        </is>
      </c>
      <c r="E278" t="inlineStr">
        <is>
          <t>Blender</t>
        </is>
      </c>
      <c r="F278" t="inlineStr">
        <is>
          <t>Appliances</t>
        </is>
      </c>
      <c r="G278" t="n">
        <v>3</v>
      </c>
      <c r="H278" t="n">
        <v>80</v>
      </c>
      <c r="I278" t="n">
        <v>240</v>
      </c>
      <c r="J278">
        <f>TEXT(B278,"YYYY-MM")</f>
        <v/>
      </c>
      <c r="K278">
        <f>YEAR(B278)</f>
        <v/>
      </c>
    </row>
    <row r="279">
      <c r="A279" t="inlineStr">
        <is>
          <t>ORD-1278</t>
        </is>
      </c>
      <c r="B279" s="1" t="n">
        <v>45625</v>
      </c>
      <c r="C279" t="inlineStr">
        <is>
          <t>CUST-353</t>
        </is>
      </c>
      <c r="D279" t="inlineStr">
        <is>
          <t>South</t>
        </is>
      </c>
      <c r="E279" t="inlineStr">
        <is>
          <t>Headphones</t>
        </is>
      </c>
      <c r="F279" t="inlineStr">
        <is>
          <t>Electronics</t>
        </is>
      </c>
      <c r="G279" t="n">
        <v>6</v>
      </c>
      <c r="H279" t="n">
        <v>50</v>
      </c>
      <c r="I279" t="n">
        <v>300</v>
      </c>
      <c r="J279">
        <f>TEXT(B279,"YYYY-MM")</f>
        <v/>
      </c>
      <c r="K279">
        <f>YEAR(B279)</f>
        <v/>
      </c>
    </row>
    <row r="280">
      <c r="A280" t="inlineStr">
        <is>
          <t>ORD-1279</t>
        </is>
      </c>
      <c r="B280" s="1" t="n">
        <v>45756</v>
      </c>
      <c r="C280" t="inlineStr">
        <is>
          <t>CUST-129</t>
        </is>
      </c>
      <c r="D280" t="inlineStr">
        <is>
          <t>East</t>
        </is>
      </c>
      <c r="E280" t="inlineStr">
        <is>
          <t>Sofa</t>
        </is>
      </c>
      <c r="F280" t="inlineStr">
        <is>
          <t>Furniture</t>
        </is>
      </c>
      <c r="G280" t="n">
        <v>10</v>
      </c>
      <c r="H280" t="n">
        <v>400</v>
      </c>
      <c r="I280" t="n">
        <v>4000</v>
      </c>
      <c r="J280">
        <f>TEXT(B280,"YYYY-MM")</f>
        <v/>
      </c>
      <c r="K280">
        <f>YEAR(B280)</f>
        <v/>
      </c>
    </row>
    <row r="281">
      <c r="A281" t="inlineStr">
        <is>
          <t>ORD-1280</t>
        </is>
      </c>
      <c r="B281" s="1" t="n">
        <v>45621</v>
      </c>
      <c r="C281" t="inlineStr">
        <is>
          <t>CUST-153</t>
        </is>
      </c>
      <c r="D281" t="inlineStr">
        <is>
          <t>South</t>
        </is>
      </c>
      <c r="E281" t="inlineStr">
        <is>
          <t>Laptop</t>
        </is>
      </c>
      <c r="F281" t="inlineStr">
        <is>
          <t>Electronics</t>
        </is>
      </c>
      <c r="G281" t="n">
        <v>4</v>
      </c>
      <c r="H281" t="n">
        <v>800</v>
      </c>
      <c r="I281" t="n">
        <v>3200</v>
      </c>
      <c r="J281">
        <f>TEXT(B281,"YYYY-MM")</f>
        <v/>
      </c>
      <c r="K281">
        <f>YEAR(B281)</f>
        <v/>
      </c>
    </row>
    <row r="282">
      <c r="A282" t="inlineStr">
        <is>
          <t>ORD-1281</t>
        </is>
      </c>
      <c r="B282" s="1" t="n">
        <v>45544</v>
      </c>
      <c r="C282" t="inlineStr">
        <is>
          <t>CUST-295</t>
        </is>
      </c>
      <c r="D282" t="inlineStr">
        <is>
          <t>East</t>
        </is>
      </c>
      <c r="E282" t="inlineStr">
        <is>
          <t>Refrigerator</t>
        </is>
      </c>
      <c r="F282" t="inlineStr">
        <is>
          <t>Appliances</t>
        </is>
      </c>
      <c r="G282" t="n">
        <v>1</v>
      </c>
      <c r="H282" t="n">
        <v>600</v>
      </c>
      <c r="I282" t="n">
        <v>600</v>
      </c>
      <c r="J282">
        <f>TEXT(B282,"YYYY-MM")</f>
        <v/>
      </c>
      <c r="K282">
        <f>YEAR(B282)</f>
        <v/>
      </c>
    </row>
    <row r="283">
      <c r="A283" t="inlineStr">
        <is>
          <t>ORD-1282</t>
        </is>
      </c>
      <c r="B283" s="1" t="n">
        <v>45850</v>
      </c>
      <c r="C283" t="inlineStr">
        <is>
          <t>CUST-368</t>
        </is>
      </c>
      <c r="D283" t="inlineStr">
        <is>
          <t>East</t>
        </is>
      </c>
      <c r="E283" t="inlineStr">
        <is>
          <t>Blender</t>
        </is>
      </c>
      <c r="F283" t="inlineStr">
        <is>
          <t>Appliances</t>
        </is>
      </c>
      <c r="G283" t="n">
        <v>8</v>
      </c>
      <c r="H283" t="n">
        <v>80</v>
      </c>
      <c r="I283" t="n">
        <v>640</v>
      </c>
      <c r="J283">
        <f>TEXT(B283,"YYYY-MM")</f>
        <v/>
      </c>
      <c r="K283">
        <f>YEAR(B283)</f>
        <v/>
      </c>
    </row>
    <row r="284">
      <c r="A284" t="inlineStr">
        <is>
          <t>ORD-1283</t>
        </is>
      </c>
      <c r="B284" s="1" t="n">
        <v>45686</v>
      </c>
      <c r="C284" t="inlineStr">
        <is>
          <t>CUST-393</t>
        </is>
      </c>
      <c r="D284" t="inlineStr">
        <is>
          <t>North</t>
        </is>
      </c>
      <c r="E284" t="inlineStr">
        <is>
          <t>Table</t>
        </is>
      </c>
      <c r="F284" t="inlineStr">
        <is>
          <t>Furniture</t>
        </is>
      </c>
      <c r="G284" t="n">
        <v>5</v>
      </c>
      <c r="H284" t="n">
        <v>150</v>
      </c>
      <c r="I284" t="n">
        <v>750</v>
      </c>
      <c r="J284">
        <f>TEXT(B284,"YYYY-MM")</f>
        <v/>
      </c>
      <c r="K284">
        <f>YEAR(B284)</f>
        <v/>
      </c>
    </row>
    <row r="285">
      <c r="A285" t="inlineStr">
        <is>
          <t>ORD-1284</t>
        </is>
      </c>
      <c r="B285" s="1" t="n">
        <v>45712</v>
      </c>
      <c r="C285" t="inlineStr">
        <is>
          <t>CUST-394</t>
        </is>
      </c>
      <c r="D285" t="inlineStr">
        <is>
          <t>South</t>
        </is>
      </c>
      <c r="E285" t="inlineStr">
        <is>
          <t>Blender</t>
        </is>
      </c>
      <c r="F285" t="inlineStr">
        <is>
          <t>Appliances</t>
        </is>
      </c>
      <c r="G285" t="n">
        <v>4</v>
      </c>
      <c r="H285" t="n">
        <v>80</v>
      </c>
      <c r="I285" t="n">
        <v>320</v>
      </c>
      <c r="J285">
        <f>TEXT(B285,"YYYY-MM")</f>
        <v/>
      </c>
      <c r="K285">
        <f>YEAR(B285)</f>
        <v/>
      </c>
    </row>
    <row r="286">
      <c r="A286" t="inlineStr">
        <is>
          <t>ORD-1285</t>
        </is>
      </c>
      <c r="B286" s="1" t="n">
        <v>45989</v>
      </c>
      <c r="C286" t="inlineStr">
        <is>
          <t>CUST-160</t>
        </is>
      </c>
      <c r="D286" t="inlineStr">
        <is>
          <t>West</t>
        </is>
      </c>
      <c r="E286" t="inlineStr">
        <is>
          <t>Sofa</t>
        </is>
      </c>
      <c r="F286" t="inlineStr">
        <is>
          <t>Furniture</t>
        </is>
      </c>
      <c r="G286" t="n">
        <v>10</v>
      </c>
      <c r="H286" t="n">
        <v>400</v>
      </c>
      <c r="I286" t="n">
        <v>4000</v>
      </c>
      <c r="J286">
        <f>TEXT(B286,"YYYY-MM")</f>
        <v/>
      </c>
      <c r="K286">
        <f>YEAR(B286)</f>
        <v/>
      </c>
    </row>
    <row r="287">
      <c r="A287" t="inlineStr">
        <is>
          <t>ORD-1286</t>
        </is>
      </c>
      <c r="B287" s="1" t="n">
        <v>45296</v>
      </c>
      <c r="C287" t="inlineStr">
        <is>
          <t>CUST-482</t>
        </is>
      </c>
      <c r="D287" t="inlineStr">
        <is>
          <t>North</t>
        </is>
      </c>
      <c r="E287" t="inlineStr">
        <is>
          <t>Sofa</t>
        </is>
      </c>
      <c r="F287" t="inlineStr">
        <is>
          <t>Furniture</t>
        </is>
      </c>
      <c r="G287" t="n">
        <v>1</v>
      </c>
      <c r="H287" t="n">
        <v>400</v>
      </c>
      <c r="I287" t="n">
        <v>400</v>
      </c>
      <c r="J287">
        <f>TEXT(B287,"YYYY-MM")</f>
        <v/>
      </c>
      <c r="K287">
        <f>YEAR(B287)</f>
        <v/>
      </c>
    </row>
    <row r="288">
      <c r="A288" t="inlineStr">
        <is>
          <t>ORD-1287</t>
        </is>
      </c>
      <c r="B288" s="1" t="n">
        <v>45989</v>
      </c>
      <c r="C288" t="inlineStr">
        <is>
          <t>CUST-150</t>
        </is>
      </c>
      <c r="D288" t="inlineStr">
        <is>
          <t>North</t>
        </is>
      </c>
      <c r="E288" t="inlineStr">
        <is>
          <t>Sofa</t>
        </is>
      </c>
      <c r="F288" t="inlineStr">
        <is>
          <t>Furniture</t>
        </is>
      </c>
      <c r="G288" t="n">
        <v>3</v>
      </c>
      <c r="H288" t="n">
        <v>400</v>
      </c>
      <c r="I288" t="n">
        <v>1200</v>
      </c>
      <c r="J288">
        <f>TEXT(B288,"YYYY-MM")</f>
        <v/>
      </c>
      <c r="K288">
        <f>YEAR(B288)</f>
        <v/>
      </c>
    </row>
    <row r="289">
      <c r="A289" t="inlineStr">
        <is>
          <t>ORD-1288</t>
        </is>
      </c>
      <c r="B289" s="1" t="n">
        <v>45295</v>
      </c>
      <c r="C289" t="inlineStr">
        <is>
          <t>CUST-148</t>
        </is>
      </c>
      <c r="D289" t="inlineStr">
        <is>
          <t>North</t>
        </is>
      </c>
      <c r="E289" t="inlineStr">
        <is>
          <t>Refrigerator</t>
        </is>
      </c>
      <c r="F289" t="inlineStr">
        <is>
          <t>Appliances</t>
        </is>
      </c>
      <c r="G289" t="n">
        <v>2</v>
      </c>
      <c r="H289" t="n">
        <v>600</v>
      </c>
      <c r="I289" t="n">
        <v>1200</v>
      </c>
      <c r="J289">
        <f>TEXT(B289,"YYYY-MM")</f>
        <v/>
      </c>
      <c r="K289">
        <f>YEAR(B289)</f>
        <v/>
      </c>
    </row>
    <row r="290">
      <c r="A290" t="inlineStr">
        <is>
          <t>ORD-1289</t>
        </is>
      </c>
      <c r="B290" s="1" t="n">
        <v>45518</v>
      </c>
      <c r="C290" t="inlineStr">
        <is>
          <t>CUST-494</t>
        </is>
      </c>
      <c r="D290" t="inlineStr">
        <is>
          <t>East</t>
        </is>
      </c>
      <c r="E290" t="inlineStr">
        <is>
          <t>Sofa</t>
        </is>
      </c>
      <c r="F290" t="inlineStr">
        <is>
          <t>Furniture</t>
        </is>
      </c>
      <c r="G290" t="n">
        <v>7</v>
      </c>
      <c r="H290" t="n">
        <v>400</v>
      </c>
      <c r="I290" t="n">
        <v>2800</v>
      </c>
      <c r="J290">
        <f>TEXT(B290,"YYYY-MM")</f>
        <v/>
      </c>
      <c r="K290">
        <f>YEAR(B290)</f>
        <v/>
      </c>
    </row>
    <row r="291">
      <c r="A291" t="inlineStr">
        <is>
          <t>ORD-1290</t>
        </is>
      </c>
      <c r="B291" s="1" t="n">
        <v>45693</v>
      </c>
      <c r="C291" t="inlineStr">
        <is>
          <t>CUST-424</t>
        </is>
      </c>
      <c r="D291" t="inlineStr">
        <is>
          <t>North</t>
        </is>
      </c>
      <c r="E291" t="inlineStr">
        <is>
          <t>Refrigerator</t>
        </is>
      </c>
      <c r="F291" t="inlineStr">
        <is>
          <t>Appliances</t>
        </is>
      </c>
      <c r="G291" t="n">
        <v>10</v>
      </c>
      <c r="H291" t="n">
        <v>600</v>
      </c>
      <c r="I291" t="n">
        <v>6000</v>
      </c>
      <c r="J291">
        <f>TEXT(B291,"YYYY-MM")</f>
        <v/>
      </c>
      <c r="K291">
        <f>YEAR(B291)</f>
        <v/>
      </c>
    </row>
    <row r="292">
      <c r="A292" t="inlineStr">
        <is>
          <t>ORD-1291</t>
        </is>
      </c>
      <c r="B292" s="1" t="n">
        <v>45569</v>
      </c>
      <c r="C292" t="inlineStr">
        <is>
          <t>CUST-457</t>
        </is>
      </c>
      <c r="D292" t="inlineStr">
        <is>
          <t>West</t>
        </is>
      </c>
      <c r="E292" t="inlineStr">
        <is>
          <t>Refrigerator</t>
        </is>
      </c>
      <c r="F292" t="inlineStr">
        <is>
          <t>Appliances</t>
        </is>
      </c>
      <c r="G292" t="n">
        <v>8</v>
      </c>
      <c r="H292" t="n">
        <v>600</v>
      </c>
      <c r="I292" t="n">
        <v>4800</v>
      </c>
      <c r="J292">
        <f>TEXT(B292,"YYYY-MM")</f>
        <v/>
      </c>
      <c r="K292">
        <f>YEAR(B292)</f>
        <v/>
      </c>
    </row>
    <row r="293">
      <c r="A293" t="inlineStr">
        <is>
          <t>ORD-1292</t>
        </is>
      </c>
      <c r="B293" s="1" t="n">
        <v>45510</v>
      </c>
      <c r="C293" t="inlineStr">
        <is>
          <t>CUST-125</t>
        </is>
      </c>
      <c r="D293" t="inlineStr">
        <is>
          <t>East</t>
        </is>
      </c>
      <c r="E293" t="inlineStr">
        <is>
          <t>Blender</t>
        </is>
      </c>
      <c r="F293" t="inlineStr">
        <is>
          <t>Appliances</t>
        </is>
      </c>
      <c r="G293" t="n">
        <v>1</v>
      </c>
      <c r="H293" t="n">
        <v>80</v>
      </c>
      <c r="I293" t="n">
        <v>80</v>
      </c>
      <c r="J293">
        <f>TEXT(B293,"YYYY-MM")</f>
        <v/>
      </c>
      <c r="K293">
        <f>YEAR(B293)</f>
        <v/>
      </c>
    </row>
    <row r="294">
      <c r="A294" t="inlineStr">
        <is>
          <t>ORD-1293</t>
        </is>
      </c>
      <c r="B294" s="1" t="n">
        <v>45897</v>
      </c>
      <c r="C294" t="inlineStr">
        <is>
          <t>CUST-235</t>
        </is>
      </c>
      <c r="D294" t="inlineStr">
        <is>
          <t>South</t>
        </is>
      </c>
      <c r="E294" t="inlineStr">
        <is>
          <t>Headphones</t>
        </is>
      </c>
      <c r="F294" t="inlineStr">
        <is>
          <t>Electronics</t>
        </is>
      </c>
      <c r="G294" t="n">
        <v>2</v>
      </c>
      <c r="H294" t="n">
        <v>50</v>
      </c>
      <c r="I294" t="n">
        <v>100</v>
      </c>
      <c r="J294">
        <f>TEXT(B294,"YYYY-MM")</f>
        <v/>
      </c>
      <c r="K294">
        <f>YEAR(B294)</f>
        <v/>
      </c>
    </row>
    <row r="295">
      <c r="A295" t="inlineStr">
        <is>
          <t>ORD-1294</t>
        </is>
      </c>
      <c r="B295" s="1" t="n">
        <v>45685</v>
      </c>
      <c r="C295" t="inlineStr">
        <is>
          <t>CUST-127</t>
        </is>
      </c>
      <c r="D295" t="inlineStr">
        <is>
          <t>North</t>
        </is>
      </c>
      <c r="E295" t="inlineStr">
        <is>
          <t>Blender</t>
        </is>
      </c>
      <c r="F295" t="inlineStr">
        <is>
          <t>Appliances</t>
        </is>
      </c>
      <c r="G295" t="n">
        <v>4</v>
      </c>
      <c r="H295" t="n">
        <v>80</v>
      </c>
      <c r="I295" t="n">
        <v>320</v>
      </c>
      <c r="J295">
        <f>TEXT(B295,"YYYY-MM")</f>
        <v/>
      </c>
      <c r="K295">
        <f>YEAR(B295)</f>
        <v/>
      </c>
    </row>
    <row r="296">
      <c r="A296" t="inlineStr">
        <is>
          <t>ORD-1295</t>
        </is>
      </c>
      <c r="B296" s="1" t="n">
        <v>45831</v>
      </c>
      <c r="C296" t="inlineStr">
        <is>
          <t>CUST-498</t>
        </is>
      </c>
      <c r="D296" t="inlineStr">
        <is>
          <t>North</t>
        </is>
      </c>
      <c r="E296" t="inlineStr">
        <is>
          <t>Laptop</t>
        </is>
      </c>
      <c r="F296" t="inlineStr">
        <is>
          <t>Electronics</t>
        </is>
      </c>
      <c r="G296" t="n">
        <v>8</v>
      </c>
      <c r="H296" t="n">
        <v>800</v>
      </c>
      <c r="I296" t="n">
        <v>6400</v>
      </c>
      <c r="J296">
        <f>TEXT(B296,"YYYY-MM")</f>
        <v/>
      </c>
      <c r="K296">
        <f>YEAR(B296)</f>
        <v/>
      </c>
    </row>
    <row r="297">
      <c r="A297" t="inlineStr">
        <is>
          <t>ORD-1296</t>
        </is>
      </c>
      <c r="B297" s="1" t="n">
        <v>45970</v>
      </c>
      <c r="C297" t="inlineStr">
        <is>
          <t>CUST-265</t>
        </is>
      </c>
      <c r="D297" t="inlineStr">
        <is>
          <t>South</t>
        </is>
      </c>
      <c r="E297" t="inlineStr">
        <is>
          <t>Table</t>
        </is>
      </c>
      <c r="F297" t="inlineStr">
        <is>
          <t>Furniture</t>
        </is>
      </c>
      <c r="G297" t="n">
        <v>8</v>
      </c>
      <c r="H297" t="n">
        <v>150</v>
      </c>
      <c r="I297" t="n">
        <v>1200</v>
      </c>
      <c r="J297">
        <f>TEXT(B297,"YYYY-MM")</f>
        <v/>
      </c>
      <c r="K297">
        <f>YEAR(B297)</f>
        <v/>
      </c>
    </row>
    <row r="298">
      <c r="A298" t="inlineStr">
        <is>
          <t>ORD-1297</t>
        </is>
      </c>
      <c r="B298" s="1" t="n">
        <v>45353</v>
      </c>
      <c r="C298" t="inlineStr">
        <is>
          <t>CUST-195</t>
        </is>
      </c>
      <c r="D298" t="inlineStr">
        <is>
          <t>West</t>
        </is>
      </c>
      <c r="E298" t="inlineStr">
        <is>
          <t>Blender</t>
        </is>
      </c>
      <c r="F298" t="inlineStr">
        <is>
          <t>Appliances</t>
        </is>
      </c>
      <c r="G298" t="n">
        <v>8</v>
      </c>
      <c r="H298" t="n">
        <v>80</v>
      </c>
      <c r="I298" t="n">
        <v>640</v>
      </c>
      <c r="J298">
        <f>TEXT(B298,"YYYY-MM")</f>
        <v/>
      </c>
      <c r="K298">
        <f>YEAR(B298)</f>
        <v/>
      </c>
    </row>
    <row r="299">
      <c r="A299" t="inlineStr">
        <is>
          <t>ORD-1298</t>
        </is>
      </c>
      <c r="B299" s="1" t="n">
        <v>45790</v>
      </c>
      <c r="C299" t="inlineStr">
        <is>
          <t>CUST-171</t>
        </is>
      </c>
      <c r="D299" t="inlineStr">
        <is>
          <t>East</t>
        </is>
      </c>
      <c r="E299" t="inlineStr">
        <is>
          <t>Headphones</t>
        </is>
      </c>
      <c r="F299" t="inlineStr">
        <is>
          <t>Electronics</t>
        </is>
      </c>
      <c r="G299" t="n">
        <v>1</v>
      </c>
      <c r="H299" t="n">
        <v>50</v>
      </c>
      <c r="I299" t="n">
        <v>50</v>
      </c>
      <c r="J299">
        <f>TEXT(B299,"YYYY-MM")</f>
        <v/>
      </c>
      <c r="K299">
        <f>YEAR(B299)</f>
        <v/>
      </c>
    </row>
    <row r="300">
      <c r="A300" t="inlineStr">
        <is>
          <t>ORD-1299</t>
        </is>
      </c>
      <c r="B300" s="1" t="n">
        <v>45667</v>
      </c>
      <c r="C300" t="inlineStr">
        <is>
          <t>CUST-261</t>
        </is>
      </c>
      <c r="D300" t="inlineStr">
        <is>
          <t>South</t>
        </is>
      </c>
      <c r="E300" t="inlineStr">
        <is>
          <t>Sofa</t>
        </is>
      </c>
      <c r="F300" t="inlineStr">
        <is>
          <t>Furniture</t>
        </is>
      </c>
      <c r="G300" t="n">
        <v>4</v>
      </c>
      <c r="H300" t="n">
        <v>400</v>
      </c>
      <c r="I300" t="n">
        <v>1600</v>
      </c>
      <c r="J300">
        <f>TEXT(B300,"YYYY-MM")</f>
        <v/>
      </c>
      <c r="K300">
        <f>YEAR(B300)</f>
        <v/>
      </c>
    </row>
    <row r="301">
      <c r="A301" t="inlineStr">
        <is>
          <t>ORD-1300</t>
        </is>
      </c>
      <c r="B301" s="1" t="n">
        <v>45663</v>
      </c>
      <c r="C301" t="inlineStr">
        <is>
          <t>CUST-123</t>
        </is>
      </c>
      <c r="D301" t="inlineStr">
        <is>
          <t>East</t>
        </is>
      </c>
      <c r="E301" t="inlineStr">
        <is>
          <t>Sofa</t>
        </is>
      </c>
      <c r="F301" t="inlineStr">
        <is>
          <t>Furniture</t>
        </is>
      </c>
      <c r="G301" t="n">
        <v>2</v>
      </c>
      <c r="H301" t="n">
        <v>400</v>
      </c>
      <c r="I301" t="n">
        <v>800</v>
      </c>
      <c r="J301">
        <f>TEXT(B301,"YYYY-MM")</f>
        <v/>
      </c>
      <c r="K301">
        <f>YEAR(B301)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Revenue</t>
        </is>
      </c>
      <c r="B2">
        <f>SUM(SalesData!I2:I301)</f>
        <v/>
      </c>
    </row>
    <row r="3">
      <c r="A3" t="inlineStr">
        <is>
          <t>Total Orders</t>
        </is>
      </c>
      <c r="B3">
        <f>COUNTA(SalesData!A2:A301)</f>
        <v/>
      </c>
    </row>
    <row r="4">
      <c r="A4" t="inlineStr">
        <is>
          <t>Total Quantity</t>
        </is>
      </c>
      <c r="B4">
        <f>SUM(SalesData!G2:G301)</f>
        <v/>
      </c>
    </row>
    <row r="6">
      <c r="A6" t="inlineStr">
        <is>
          <t>Revenue by Region</t>
        </is>
      </c>
      <c r="D6" t="inlineStr">
        <is>
          <t>Monthly Revenue</t>
        </is>
      </c>
    </row>
    <row r="7">
      <c r="A7" t="inlineStr">
        <is>
          <t>Region</t>
        </is>
      </c>
      <c r="B7" t="inlineStr">
        <is>
          <t>Revenue</t>
        </is>
      </c>
      <c r="D7" t="inlineStr">
        <is>
          <t>Month</t>
        </is>
      </c>
      <c r="E7" t="inlineStr">
        <is>
          <t>Revenue</t>
        </is>
      </c>
    </row>
    <row r="8">
      <c r="A8" t="inlineStr">
        <is>
          <t>North</t>
        </is>
      </c>
      <c r="B8">
        <f>SUMIFS(SalesData!I:I,SalesData!D:D,"North")</f>
        <v/>
      </c>
      <c r="D8" t="inlineStr">
        <is>
          <t>2024-01</t>
        </is>
      </c>
      <c r="E8" t="n">
        <v>21700</v>
      </c>
    </row>
    <row r="9">
      <c r="A9" t="inlineStr">
        <is>
          <t>South</t>
        </is>
      </c>
      <c r="B9">
        <f>SUMIFS(SalesData!I:I,SalesData!D:D,"South")</f>
        <v/>
      </c>
      <c r="D9" t="inlineStr">
        <is>
          <t>2024-02</t>
        </is>
      </c>
      <c r="E9" t="n">
        <v>45140</v>
      </c>
    </row>
    <row r="10">
      <c r="A10" t="inlineStr">
        <is>
          <t>East</t>
        </is>
      </c>
      <c r="B10">
        <f>SUMIFS(SalesData!I:I,SalesData!D:D,"East")</f>
        <v/>
      </c>
      <c r="D10" t="inlineStr">
        <is>
          <t>2024-03</t>
        </is>
      </c>
      <c r="E10" t="n">
        <v>33340</v>
      </c>
    </row>
    <row r="11">
      <c r="A11" t="inlineStr">
        <is>
          <t>West</t>
        </is>
      </c>
      <c r="B11">
        <f>SUMIFS(SalesData!I:I,SalesData!D:D,"West")</f>
        <v/>
      </c>
      <c r="D11" t="inlineStr">
        <is>
          <t>2024-04</t>
        </is>
      </c>
      <c r="E11" t="n">
        <v>16570</v>
      </c>
    </row>
    <row r="12">
      <c r="D12" t="inlineStr">
        <is>
          <t>2024-05</t>
        </is>
      </c>
      <c r="E12" t="n">
        <v>28950</v>
      </c>
    </row>
    <row r="13">
      <c r="D13" t="inlineStr">
        <is>
          <t>2024-06</t>
        </is>
      </c>
      <c r="E13" t="n">
        <v>47200</v>
      </c>
    </row>
    <row r="14">
      <c r="D14" t="inlineStr">
        <is>
          <t>2024-07</t>
        </is>
      </c>
      <c r="E14" t="n">
        <v>10330</v>
      </c>
    </row>
    <row r="15">
      <c r="D15" t="inlineStr">
        <is>
          <t>2024-08</t>
        </is>
      </c>
      <c r="E15" t="n">
        <v>27990</v>
      </c>
    </row>
    <row r="16">
      <c r="D16" t="inlineStr">
        <is>
          <t>2024-09</t>
        </is>
      </c>
      <c r="E16" t="n">
        <v>16700</v>
      </c>
    </row>
    <row r="17">
      <c r="D17" t="inlineStr">
        <is>
          <t>2024-10</t>
        </is>
      </c>
      <c r="E17" t="n">
        <v>37070</v>
      </c>
    </row>
    <row r="18">
      <c r="D18" t="inlineStr">
        <is>
          <t>2024-11</t>
        </is>
      </c>
      <c r="E18" t="n">
        <v>17140</v>
      </c>
    </row>
    <row r="19">
      <c r="D19" t="inlineStr">
        <is>
          <t>2024-12</t>
        </is>
      </c>
      <c r="E19" t="n">
        <v>28160</v>
      </c>
    </row>
    <row r="20">
      <c r="D20" t="inlineStr">
        <is>
          <t>2025-01</t>
        </is>
      </c>
      <c r="E20" t="n">
        <v>23370</v>
      </c>
    </row>
    <row r="21">
      <c r="D21" t="inlineStr">
        <is>
          <t>2025-02</t>
        </is>
      </c>
      <c r="E21" t="n">
        <v>22890</v>
      </c>
    </row>
    <row r="22">
      <c r="D22" t="inlineStr">
        <is>
          <t>2025-03</t>
        </is>
      </c>
      <c r="E22" t="n">
        <v>16180</v>
      </c>
    </row>
    <row r="23">
      <c r="D23" t="inlineStr">
        <is>
          <t>2025-04</t>
        </is>
      </c>
      <c r="E23" t="n">
        <v>34000</v>
      </c>
    </row>
    <row r="24">
      <c r="D24" t="inlineStr">
        <is>
          <t>2025-05</t>
        </is>
      </c>
      <c r="E24" t="n">
        <v>13650</v>
      </c>
    </row>
    <row r="25">
      <c r="D25" t="inlineStr">
        <is>
          <t>2025-06</t>
        </is>
      </c>
      <c r="E25" t="n">
        <v>36310</v>
      </c>
    </row>
    <row r="26">
      <c r="D26" t="inlineStr">
        <is>
          <t>2025-07</t>
        </is>
      </c>
      <c r="E26" t="n">
        <v>32930</v>
      </c>
    </row>
    <row r="27">
      <c r="D27" t="inlineStr">
        <is>
          <t>2025-08</t>
        </is>
      </c>
      <c r="E27" t="n">
        <v>13890</v>
      </c>
    </row>
    <row r="28">
      <c r="D28" t="inlineStr">
        <is>
          <t>2025-09</t>
        </is>
      </c>
      <c r="E28" t="n">
        <v>24240</v>
      </c>
    </row>
    <row r="29">
      <c r="D29" t="inlineStr">
        <is>
          <t>2025-10</t>
        </is>
      </c>
      <c r="E29" t="n">
        <v>21390</v>
      </c>
    </row>
    <row r="30">
      <c r="D30" t="inlineStr">
        <is>
          <t>2025-11</t>
        </is>
      </c>
      <c r="E30" t="n">
        <v>25570</v>
      </c>
    </row>
    <row r="31">
      <c r="D31" t="inlineStr">
        <is>
          <t>2025-12</t>
        </is>
      </c>
      <c r="E31" t="n">
        <v>2080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Product</t>
        </is>
      </c>
      <c r="B1" t="inlineStr">
        <is>
          <t>Category</t>
        </is>
      </c>
      <c r="C1" t="inlineStr">
        <is>
          <t>Total_Revenue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268000</v>
      </c>
    </row>
    <row r="3">
      <c r="A3" t="inlineStr">
        <is>
          <t>Refrigerator</t>
        </is>
      </c>
      <c r="B3" t="inlineStr">
        <is>
          <t>Appliances</t>
        </is>
      </c>
      <c r="C3" t="n">
        <v>126600</v>
      </c>
    </row>
    <row r="4">
      <c r="A4" t="inlineStr">
        <is>
          <t>Sofa</t>
        </is>
      </c>
      <c r="B4" t="inlineStr">
        <is>
          <t>Furniture</t>
        </is>
      </c>
      <c r="C4" t="n">
        <v>122800</v>
      </c>
    </row>
    <row r="5">
      <c r="A5" t="inlineStr">
        <is>
          <t>Table</t>
        </is>
      </c>
      <c r="B5" t="inlineStr">
        <is>
          <t>Furniture</t>
        </is>
      </c>
      <c r="C5" t="n">
        <v>39600</v>
      </c>
    </row>
    <row r="6">
      <c r="A6" t="inlineStr">
        <is>
          <t>Blender</t>
        </is>
      </c>
      <c r="B6" t="inlineStr">
        <is>
          <t>Appliances</t>
        </is>
      </c>
      <c r="C6" t="n">
        <v>26640</v>
      </c>
    </row>
    <row r="7">
      <c r="A7" t="inlineStr">
        <is>
          <t>Headphones</t>
        </is>
      </c>
      <c r="B7" t="inlineStr">
        <is>
          <t>Electronics</t>
        </is>
      </c>
      <c r="C7" t="n">
        <v>13150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2025-11-26T01:20:34Z</dcterms:created>
  <dcterms:modified xmlns:dcterms="http://purl.org/dc/terms/" xmlns:xsi="http://www.w3.org/2001/XMLSchema-instance" xsi:type="dcterms:W3CDTF">2025-11-26T01:20:34Z</dcterms:modified>
</cp:coreProperties>
</file>